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ocuments\DA SHILPA\EXCEL\"/>
    </mc:Choice>
  </mc:AlternateContent>
  <xr:revisionPtr revIDLastSave="0" documentId="13_ncr:1_{5B980B55-CB87-481B-A6F5-2B4BA7C0B7B3}" xr6:coauthVersionLast="47" xr6:coauthVersionMax="47" xr10:uidLastSave="{00000000-0000-0000-0000-000000000000}"/>
  <bookViews>
    <workbookView xWindow="-120" yWindow="-120" windowWidth="20730" windowHeight="11040" activeTab="2" xr2:uid="{00000000-000D-0000-FFFF-FFFF00000000}"/>
  </bookViews>
  <sheets>
    <sheet name="Employee_Master" sheetId="1" r:id="rId1"/>
    <sheet name="Attendance_Log" sheetId="2" r:id="rId2"/>
    <sheet name="Productivity_Log" sheetId="3" r:id="rId3"/>
    <sheet name="CL BY DEPT" sheetId="12" state="hidden" r:id="rId4"/>
    <sheet name="CL BY MONTH" sheetId="13" state="hidden" r:id="rId5"/>
    <sheet name="HIGH RISK BY DEPT" sheetId="14" state="hidden" r:id="rId6"/>
    <sheet name="slicers" sheetId="20" state="hidden" r:id="rId7"/>
    <sheet name="cl by risk flag" sheetId="26" state="hidden" r:id="rId8"/>
    <sheet name="slic" sheetId="27" state="hidden" r:id="rId9"/>
    <sheet name="Derived_Metrics" sheetId="4" r:id="rId10"/>
    <sheet name="Dashboard1" sheetId="22" r:id="rId11"/>
  </sheets>
  <definedNames>
    <definedName name="_xlnm._FilterDatabase" localSheetId="0" hidden="1">Employee_Master!$J$1:$J$100</definedName>
    <definedName name="Data">Derived_Metrics!$A$1:$J$301</definedName>
    <definedName name="Slicer_DEPARTMENT">#N/A</definedName>
    <definedName name="Slicer_DEPARTMENT1">#N/A</definedName>
    <definedName name="Slicer_Month">#N/A</definedName>
    <definedName name="Slicer_Month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3"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2" i="4"/>
  <c r="G2" i="4"/>
  <c r="G64" i="4"/>
  <c r="G65" i="4"/>
  <c r="G152" i="4"/>
  <c r="G248" i="4"/>
  <c r="G3" i="4"/>
  <c r="G68" i="4"/>
  <c r="G160" i="4"/>
  <c r="G224" i="4"/>
  <c r="G216" i="4"/>
  <c r="G4" i="4"/>
  <c r="G73" i="4"/>
  <c r="G284" i="4"/>
  <c r="G76" i="4"/>
  <c r="G181" i="4"/>
  <c r="G291" i="4"/>
  <c r="G236" i="4"/>
  <c r="G83" i="4"/>
  <c r="G278" i="4"/>
  <c r="G86" i="4"/>
  <c r="G149" i="4"/>
  <c r="G112" i="4"/>
  <c r="G257" i="4"/>
  <c r="G5" i="4"/>
  <c r="G115" i="4"/>
  <c r="G251" i="4"/>
  <c r="G74" i="4"/>
  <c r="G70" i="4"/>
  <c r="G210" i="4"/>
  <c r="G107" i="4"/>
  <c r="G271" i="4"/>
  <c r="G240" i="4"/>
  <c r="G6" i="4"/>
  <c r="G63" i="4"/>
  <c r="G7" i="4"/>
  <c r="G214" i="4"/>
  <c r="G215" i="4"/>
  <c r="G61" i="4"/>
  <c r="G77" i="4"/>
  <c r="G190" i="4"/>
  <c r="G89" i="4"/>
  <c r="G261" i="4"/>
  <c r="G262" i="4"/>
  <c r="G128" i="4"/>
  <c r="G198" i="4"/>
  <c r="G172" i="4"/>
  <c r="G245" i="4"/>
  <c r="G82" i="4"/>
  <c r="G134" i="4"/>
  <c r="G150" i="4"/>
  <c r="G56" i="4"/>
  <c r="G8" i="4"/>
  <c r="G137" i="4"/>
  <c r="G206" i="4"/>
  <c r="G166" i="4"/>
  <c r="G135" i="4"/>
  <c r="G191" i="4"/>
  <c r="G90" i="4"/>
  <c r="G99" i="4"/>
  <c r="G273" i="4"/>
  <c r="G102" i="4"/>
  <c r="G9" i="4"/>
  <c r="G10" i="4"/>
  <c r="G280" i="4"/>
  <c r="G220" i="4"/>
  <c r="G11" i="4"/>
  <c r="G80" i="4"/>
  <c r="G12" i="4"/>
  <c r="G182" i="4"/>
  <c r="G51" i="4"/>
  <c r="G129" i="4"/>
  <c r="G164" i="4"/>
  <c r="G162" i="4"/>
  <c r="G13" i="4"/>
  <c r="G265" i="4"/>
  <c r="G94" i="4"/>
  <c r="G196" i="4"/>
  <c r="G14" i="4"/>
  <c r="G144" i="4"/>
  <c r="G157" i="4"/>
  <c r="G269" i="4"/>
  <c r="G296" i="4"/>
  <c r="G252" i="4"/>
  <c r="G267" i="4"/>
  <c r="G15" i="4"/>
  <c r="G174" i="4"/>
  <c r="G16" i="4"/>
  <c r="G17" i="4"/>
  <c r="G230" i="4"/>
  <c r="G288" i="4"/>
  <c r="G53" i="4"/>
  <c r="G231" i="4"/>
  <c r="G95" i="4"/>
  <c r="G156" i="4"/>
  <c r="G142" i="4"/>
  <c r="G18" i="4"/>
  <c r="G217" i="4"/>
  <c r="G225" i="4"/>
  <c r="G19" i="4"/>
  <c r="G104" i="4"/>
  <c r="G87" i="4"/>
  <c r="G96" i="4"/>
  <c r="G170" i="4"/>
  <c r="G293" i="4"/>
  <c r="G176" i="4"/>
  <c r="G140" i="4"/>
  <c r="G158" i="4"/>
  <c r="G221" i="4"/>
  <c r="G117" i="4"/>
  <c r="G138" i="4"/>
  <c r="G222" i="4"/>
  <c r="G249" i="4"/>
  <c r="G84" i="4"/>
  <c r="G207" i="4"/>
  <c r="G100" i="4"/>
  <c r="G20" i="4"/>
  <c r="G72" i="4"/>
  <c r="G92" i="4"/>
  <c r="G60" i="4"/>
  <c r="G49" i="4"/>
  <c r="G208" i="4"/>
  <c r="G232" i="4"/>
  <c r="G289" i="4"/>
  <c r="G21" i="4"/>
  <c r="G22" i="4"/>
  <c r="G227" i="4"/>
  <c r="G23" i="4"/>
  <c r="G118" i="4"/>
  <c r="G146" i="4"/>
  <c r="G173" i="4"/>
  <c r="G125" i="4"/>
  <c r="G177" i="4"/>
  <c r="G57" i="4"/>
  <c r="G179" i="4"/>
  <c r="G106" i="4"/>
  <c r="G246" i="4"/>
  <c r="G180" i="4"/>
  <c r="G211" i="4"/>
  <c r="G285" i="4"/>
  <c r="G24" i="4"/>
  <c r="G103" i="4"/>
  <c r="G58" i="4"/>
  <c r="G167" i="4"/>
  <c r="G108" i="4"/>
  <c r="G241" i="4"/>
  <c r="G186" i="4"/>
  <c r="G55" i="4"/>
  <c r="G25" i="4"/>
  <c r="G228" i="4"/>
  <c r="G258" i="4"/>
  <c r="G154" i="4"/>
  <c r="G234" i="4"/>
  <c r="G26" i="4"/>
  <c r="G27" i="4"/>
  <c r="G219" i="4"/>
  <c r="G254" i="4"/>
  <c r="G242" i="4"/>
  <c r="G28" i="4"/>
  <c r="G247" i="4"/>
  <c r="G282" i="4"/>
  <c r="G192" i="4"/>
  <c r="G66" i="4"/>
  <c r="G29" i="4"/>
  <c r="G243" i="4"/>
  <c r="G30" i="4"/>
  <c r="G126" i="4"/>
  <c r="G187" i="4"/>
  <c r="G97" i="4"/>
  <c r="G183" i="4"/>
  <c r="G67" i="4"/>
  <c r="G71" i="4"/>
  <c r="G212" i="4"/>
  <c r="G78" i="4"/>
  <c r="G297" i="4"/>
  <c r="G188" i="4"/>
  <c r="G93" i="4"/>
  <c r="G31" i="4"/>
  <c r="G151" i="4"/>
  <c r="G283" i="4"/>
  <c r="G130" i="4"/>
  <c r="G153" i="4"/>
  <c r="G223" i="4"/>
  <c r="G110" i="4"/>
  <c r="G292" i="4"/>
  <c r="G199" i="4"/>
  <c r="G32" i="4"/>
  <c r="G184" i="4"/>
  <c r="G263" i="4"/>
  <c r="G171" i="4"/>
  <c r="G229" i="4"/>
  <c r="G266" i="4"/>
  <c r="G168" i="4"/>
  <c r="G274" i="4"/>
  <c r="G75" i="4"/>
  <c r="G33" i="4"/>
  <c r="G202" i="4"/>
  <c r="G250" i="4"/>
  <c r="G200" i="4"/>
  <c r="G34" i="4"/>
  <c r="G235" i="4"/>
  <c r="G281" i="4"/>
  <c r="G91" i="4"/>
  <c r="G155" i="4"/>
  <c r="G163" i="4"/>
  <c r="G120" i="4"/>
  <c r="G113" i="4"/>
  <c r="G279" i="4"/>
  <c r="G147" i="4"/>
  <c r="G132" i="4"/>
  <c r="G290" i="4"/>
  <c r="G54" i="4"/>
  <c r="G175" i="4"/>
  <c r="G35" i="4"/>
  <c r="G238" i="4"/>
  <c r="G193" i="4"/>
  <c r="G264" i="4"/>
  <c r="G121" i="4"/>
  <c r="G36" i="4"/>
  <c r="G256" i="4"/>
  <c r="G203" i="4"/>
  <c r="G237" i="4"/>
  <c r="G260" i="4"/>
  <c r="G204" i="4"/>
  <c r="G286" i="4"/>
  <c r="G299" i="4"/>
  <c r="G85" i="4"/>
  <c r="G50" i="4"/>
  <c r="G233" i="4"/>
  <c r="G141" i="4"/>
  <c r="G59" i="4"/>
  <c r="G244" i="4"/>
  <c r="G139" i="4"/>
  <c r="G69" i="4"/>
  <c r="G201" i="4"/>
  <c r="G105" i="4"/>
  <c r="G122" i="4"/>
  <c r="G161" i="4"/>
  <c r="G119" i="4"/>
  <c r="G300" i="4"/>
  <c r="G114" i="4"/>
  <c r="G213" i="4"/>
  <c r="G101" i="4"/>
  <c r="G37" i="4"/>
  <c r="G218" i="4"/>
  <c r="G136" i="4"/>
  <c r="G109" i="4"/>
  <c r="G275" i="4"/>
  <c r="G253" i="4"/>
  <c r="G133" i="4"/>
  <c r="G38" i="4"/>
  <c r="G276" i="4"/>
  <c r="G259" i="4"/>
  <c r="G39" i="4"/>
  <c r="G165" i="4"/>
  <c r="G205" i="4"/>
  <c r="G123" i="4"/>
  <c r="G272" i="4"/>
  <c r="G194" i="4"/>
  <c r="G268" i="4"/>
  <c r="G124" i="4"/>
  <c r="G301" i="4"/>
  <c r="G148" i="4"/>
  <c r="G294" i="4"/>
  <c r="G40" i="4"/>
  <c r="G41" i="4"/>
  <c r="G52" i="4"/>
  <c r="G145" i="4"/>
  <c r="G81" i="4"/>
  <c r="G131" i="4"/>
  <c r="G42" i="4"/>
  <c r="G189" i="4"/>
  <c r="G98" i="4"/>
  <c r="G197" i="4"/>
  <c r="G43" i="4"/>
  <c r="G195" i="4"/>
  <c r="G44" i="4"/>
  <c r="G143" i="4"/>
  <c r="G209" i="4"/>
  <c r="G111" i="4"/>
  <c r="G239" i="4"/>
  <c r="G255" i="4"/>
  <c r="G88" i="4"/>
  <c r="G287" i="4"/>
  <c r="G45" i="4"/>
  <c r="G169" i="4"/>
  <c r="G46" i="4"/>
  <c r="G62" i="4"/>
  <c r="G295" i="4"/>
  <c r="G127" i="4"/>
  <c r="G47" i="4"/>
  <c r="G159" i="4"/>
  <c r="G185" i="4"/>
  <c r="G298" i="4"/>
  <c r="G116" i="4"/>
  <c r="G48" i="4"/>
  <c r="G178" i="4"/>
  <c r="G270" i="4"/>
  <c r="G79" i="4"/>
  <c r="G226" i="4"/>
  <c r="G277" i="4"/>
</calcChain>
</file>

<file path=xl/sharedStrings.xml><?xml version="1.0" encoding="utf-8"?>
<sst xmlns="http://schemas.openxmlformats.org/spreadsheetml/2006/main" count="2496" uniqueCount="160">
  <si>
    <t>Emp_ID</t>
  </si>
  <si>
    <t>Emp_Name</t>
  </si>
  <si>
    <t>Department</t>
  </si>
  <si>
    <t>Location</t>
  </si>
  <si>
    <t>Join_Date</t>
  </si>
  <si>
    <t>Monthly_Salary</t>
  </si>
  <si>
    <t>Employment_Status</t>
  </si>
  <si>
    <t>Manager</t>
  </si>
  <si>
    <t>E001</t>
  </si>
  <si>
    <t>HR</t>
  </si>
  <si>
    <t>Pune</t>
  </si>
  <si>
    <t>Active</t>
  </si>
  <si>
    <t>Rohit</t>
  </si>
  <si>
    <t>E002</t>
  </si>
  <si>
    <t>Sales</t>
  </si>
  <si>
    <t>Delhi</t>
  </si>
  <si>
    <t>Inactive</t>
  </si>
  <si>
    <t>Vikram</t>
  </si>
  <si>
    <t>E003</t>
  </si>
  <si>
    <t>Chennai</t>
  </si>
  <si>
    <t>active</t>
  </si>
  <si>
    <t>Anita</t>
  </si>
  <si>
    <t>E004</t>
  </si>
  <si>
    <t>IT</t>
  </si>
  <si>
    <t>Mumbai</t>
  </si>
  <si>
    <t>Suresh</t>
  </si>
  <si>
    <t>E005</t>
  </si>
  <si>
    <t>E006</t>
  </si>
  <si>
    <t>Finance</t>
  </si>
  <si>
    <t>ACTIVE</t>
  </si>
  <si>
    <t>Meena</t>
  </si>
  <si>
    <t>E007</t>
  </si>
  <si>
    <t>E008</t>
  </si>
  <si>
    <t>E009</t>
  </si>
  <si>
    <t>E010</t>
  </si>
  <si>
    <t>Neha</t>
  </si>
  <si>
    <t>E011</t>
  </si>
  <si>
    <t>Bangalore</t>
  </si>
  <si>
    <t>E012</t>
  </si>
  <si>
    <t>E013</t>
  </si>
  <si>
    <t>E014</t>
  </si>
  <si>
    <t>E015</t>
  </si>
  <si>
    <t>E016</t>
  </si>
  <si>
    <t>E017</t>
  </si>
  <si>
    <t>Amit</t>
  </si>
  <si>
    <t>E018</t>
  </si>
  <si>
    <t>Kiran</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</si>
  <si>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</si>
  <si>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</si>
  <si>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</si>
  <si>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</si>
  <si>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</si>
  <si>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</si>
  <si>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</si>
  <si>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</si>
  <si>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</si>
  <si>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</si>
  <si>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</si>
  <si>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</si>
  <si>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</si>
  <si>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</si>
  <si>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</si>
  <si>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</si>
  <si>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</si>
  <si>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</si>
  <si>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</si>
  <si>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</si>
  <si>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</si>
  <si>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</si>
  <si>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</si>
  <si>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</si>
  <si>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</si>
  <si>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</si>
  <si>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</si>
  <si>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</si>
  <si>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</si>
  <si>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</si>
  <si>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</si>
  <si>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</si>
  <si>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Month</t>
  </si>
  <si>
    <t>Working_Days</t>
  </si>
  <si>
    <t>Days_Present</t>
  </si>
  <si>
    <t>Leaves_Taken</t>
  </si>
  <si>
    <t>Jan-24</t>
  </si>
  <si>
    <t>Feb-24</t>
  </si>
  <si>
    <t>Mar-24</t>
  </si>
  <si>
    <t>Apr-24</t>
  </si>
  <si>
    <t>May-24</t>
  </si>
  <si>
    <t>Jun-24</t>
  </si>
  <si>
    <t>Tasks_Assigned</t>
  </si>
  <si>
    <t>Tasks_Completed</t>
  </si>
  <si>
    <t>Rework_Count</t>
  </si>
  <si>
    <t>Cost_Leakage</t>
  </si>
  <si>
    <t>Risk_Flag</t>
  </si>
  <si>
    <t>Attendance</t>
  </si>
  <si>
    <t>rework</t>
  </si>
  <si>
    <t>absentism</t>
  </si>
  <si>
    <t>monthly salary</t>
  </si>
  <si>
    <t>Amit Sharma</t>
  </si>
  <si>
    <t>Neha Verma</t>
  </si>
  <si>
    <t>Rahul Mehta</t>
  </si>
  <si>
    <t>Pooja Iyer</t>
  </si>
  <si>
    <t>Suresh Kumar</t>
  </si>
  <si>
    <t>Anjali Gupta</t>
  </si>
  <si>
    <t>Rohan Patel</t>
  </si>
  <si>
    <t>Sneha Joshi</t>
  </si>
  <si>
    <t>Vikram Singh</t>
  </si>
  <si>
    <t>Kavita Nair</t>
  </si>
  <si>
    <t>Arjun Malhotra</t>
  </si>
  <si>
    <t>Priya Chatterjee</t>
  </si>
  <si>
    <t>Deepak Agarwal</t>
  </si>
  <si>
    <t>Swati Kulkarni</t>
  </si>
  <si>
    <t>Nikhil Bansal</t>
  </si>
  <si>
    <t>Ritu Saxena</t>
  </si>
  <si>
    <t>Manish Jain</t>
  </si>
  <si>
    <t>Aarti Deshpande</t>
  </si>
  <si>
    <t>Kunal Shah</t>
  </si>
  <si>
    <t>Shweta Mishra</t>
  </si>
  <si>
    <t>Sanjay Rao</t>
  </si>
  <si>
    <t>Pallavi Gokhale</t>
  </si>
  <si>
    <t>Mohit Khanna</t>
  </si>
  <si>
    <t>Neelam Yadav</t>
  </si>
  <si>
    <t>Abhishek Tiwari</t>
  </si>
  <si>
    <t>Divya Menon</t>
  </si>
  <si>
    <t>Pankaj Srivastava</t>
  </si>
  <si>
    <t>Meenal Patil</t>
  </si>
  <si>
    <t>Ashish Kapoor</t>
  </si>
  <si>
    <t>Nandini Bose</t>
  </si>
  <si>
    <t>Varun Arora</t>
  </si>
  <si>
    <t>Sunita Reddy</t>
  </si>
  <si>
    <t>Akash Tripathi</t>
  </si>
  <si>
    <t>Reema Fernandes</t>
  </si>
  <si>
    <t>Prakash Iyer</t>
  </si>
  <si>
    <t>Tanvi Kulkarni</t>
  </si>
  <si>
    <t>Gaurav Soni</t>
  </si>
  <si>
    <t>Lata Mahajan</t>
  </si>
  <si>
    <t>Siddharth Roy</t>
  </si>
  <si>
    <t>Rachna Bhat</t>
  </si>
  <si>
    <t>Harsh Vardhan</t>
  </si>
  <si>
    <t>Supriya Kuldeep</t>
  </si>
  <si>
    <t>Alok Pandey</t>
  </si>
  <si>
    <t>Shilpa Naik</t>
  </si>
  <si>
    <t>Rohit Saxena</t>
  </si>
  <si>
    <t>Monica D’Souza</t>
  </si>
  <si>
    <t>Naveen Shetty</t>
  </si>
  <si>
    <t>Priti Chavan</t>
  </si>
  <si>
    <t>Sameer Qureshi</t>
  </si>
  <si>
    <t>Bhavya Arvind</t>
  </si>
  <si>
    <t>Row Labels</t>
  </si>
  <si>
    <t>Grand Total</t>
  </si>
  <si>
    <t>DEPARTMENT</t>
  </si>
  <si>
    <t>Sum of Cost_Leakage</t>
  </si>
  <si>
    <t>Productivity</t>
  </si>
  <si>
    <t>Rework</t>
  </si>
  <si>
    <t>Absentism</t>
  </si>
  <si>
    <t>HIGH</t>
  </si>
  <si>
    <t>LOW</t>
  </si>
  <si>
    <t>MEDIUM</t>
  </si>
  <si>
    <t>Count of Emp_ID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</si>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</sst>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
    <numFmt numFmtId="166" formatCode="&quot;₹&quot;\ #,##0.00"/>
    <numFmt numFmtId="167" formatCode="&quot;₹&quot;\ #,##0"/>
  </numFmts>
  <fonts count="6" x14ac:knownFonts="1">
    <font>
      <sz val="11"/>
      <color theme="1"/>
      <name val="Calibri"/>
      <family val="2"/>
      <scheme val="minor"/>
    </font>
    <font>
      <sz val="11"/>
      <color theme="1"/>
      <name val="Calibri"/>
      <family val="2"/>
      <scheme val="minor"/>
    </font>
    <font>
      <u/>
      <sz val="11"/>
      <color theme="10"/>
      <name val="Calibri"/>
      <family val="2"/>
      <scheme val="minor"/>
    </font>
    <font>
      <sz val="11"/>
      <color theme="1"/>
      <name val="Cambria"/>
      <family val="1"/>
      <scheme val="maj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50">
    <xf numFmtId="0" fontId="0" fillId="0" borderId="0" xfId="0"/>
    <xf numFmtId="14" fontId="0" fillId="0" borderId="0" xfId="0" applyNumberFormat="1"/>
    <xf numFmtId="9" fontId="0" fillId="0" borderId="0" xfId="1" applyFont="1"/>
    <xf numFmtId="2" fontId="0" fillId="0" borderId="0" xfId="0" applyNumberFormat="1"/>
    <xf numFmtId="0" fontId="0" fillId="0" borderId="1" xfId="0" applyBorder="1"/>
    <xf numFmtId="164" fontId="0" fillId="0" borderId="0" xfId="1" applyNumberFormat="1" applyFont="1"/>
    <xf numFmtId="165" fontId="0" fillId="0" borderId="0" xfId="0" applyNumberFormat="1"/>
    <xf numFmtId="9" fontId="0" fillId="0" borderId="0" xfId="0" applyNumberFormat="1"/>
    <xf numFmtId="0" fontId="2" fillId="0" borderId="0" xfId="2"/>
    <xf numFmtId="0" fontId="3" fillId="0" borderId="1" xfId="0" applyFont="1" applyBorder="1"/>
    <xf numFmtId="2" fontId="3" fillId="0" borderId="1" xfId="0" applyNumberFormat="1" applyFont="1" applyBorder="1"/>
    <xf numFmtId="14" fontId="3" fillId="0" borderId="1" xfId="0" applyNumberFormat="1"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3" fillId="0" borderId="11" xfId="0" applyFont="1" applyBorder="1"/>
    <xf numFmtId="9" fontId="3" fillId="0" borderId="1" xfId="1" applyFont="1" applyBorder="1"/>
    <xf numFmtId="2" fontId="3" fillId="0" borderId="11" xfId="0" applyNumberFormat="1" applyFont="1" applyBorder="1"/>
    <xf numFmtId="9" fontId="3" fillId="0" borderId="11" xfId="1" applyFont="1" applyBorder="1"/>
    <xf numFmtId="9" fontId="0" fillId="0" borderId="1" xfId="1" applyFont="1" applyBorder="1"/>
    <xf numFmtId="2" fontId="0" fillId="0" borderId="1" xfId="0" applyNumberFormat="1" applyBorder="1"/>
    <xf numFmtId="167" fontId="3" fillId="0" borderId="11" xfId="1" applyNumberFormat="1" applyFont="1" applyBorder="1"/>
    <xf numFmtId="167" fontId="3" fillId="0" borderId="0" xfId="0" applyNumberFormat="1" applyFont="1"/>
    <xf numFmtId="167" fontId="0" fillId="0" borderId="0" xfId="0" applyNumberFormat="1"/>
    <xf numFmtId="0" fontId="0" fillId="0" borderId="1" xfId="0" applyBorder="1" applyAlignment="1">
      <alignment horizontal="left"/>
    </xf>
    <xf numFmtId="0" fontId="3" fillId="0" borderId="12" xfId="0" applyFont="1" applyBorder="1"/>
    <xf numFmtId="0" fontId="0" fillId="0" borderId="11" xfId="0" applyBorder="1"/>
    <xf numFmtId="0" fontId="3" fillId="0" borderId="14" xfId="0" applyFont="1" applyBorder="1"/>
    <xf numFmtId="0" fontId="3" fillId="0" borderId="15" xfId="0" applyFont="1" applyBorder="1"/>
    <xf numFmtId="166" fontId="3" fillId="0" borderId="15" xfId="0" applyNumberFormat="1" applyFont="1" applyBorder="1"/>
    <xf numFmtId="0" fontId="3" fillId="0" borderId="16" xfId="0" applyFont="1" applyBorder="1"/>
    <xf numFmtId="0" fontId="3" fillId="0" borderId="17" xfId="0" applyFont="1" applyBorder="1"/>
    <xf numFmtId="0" fontId="3" fillId="0" borderId="13" xfId="0" applyFont="1" applyBorder="1"/>
    <xf numFmtId="9" fontId="3" fillId="0" borderId="13" xfId="1" applyFont="1" applyBorder="1"/>
    <xf numFmtId="167" fontId="3" fillId="0" borderId="18" xfId="1" applyNumberFormat="1" applyFont="1" applyBorder="1"/>
    <xf numFmtId="0" fontId="3" fillId="0" borderId="18" xfId="0" applyFont="1" applyBorder="1"/>
    <xf numFmtId="0" fontId="0" fillId="0" borderId="18" xfId="0" applyBorder="1"/>
    <xf numFmtId="0" fontId="4" fillId="2" borderId="1" xfId="0" applyFont="1" applyFill="1" applyBorder="1"/>
    <xf numFmtId="9" fontId="0" fillId="0" borderId="1" xfId="0" applyNumberFormat="1" applyBorder="1"/>
    <xf numFmtId="0" fontId="5" fillId="0" borderId="0" xfId="0" applyFont="1"/>
    <xf numFmtId="0" fontId="0" fillId="0" borderId="0" xfId="0" applyBorder="1"/>
    <xf numFmtId="0" fontId="3" fillId="0" borderId="0" xfId="0" applyFont="1" applyBorder="1"/>
  </cellXfs>
  <cellStyles count="3">
    <cellStyle name="Hyperlink" xfId="2" builtinId="8"/>
    <cellStyle name="Normal" xfId="0" builtinId="0"/>
    <cellStyle name="Percent" xfId="1" builtinId="5"/>
  </cellStyles>
  <dxfs count="16">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numFmt numFmtId="167" formatCode="&quot;₹&quot;\ #,##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maj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mbria"/>
        <family val="1"/>
        <scheme val="major"/>
      </font>
      <border diagonalUp="0" diagonalDown="0" outline="0">
        <left style="thin">
          <color indexed="64"/>
        </left>
        <right style="thin">
          <color indexed="64"/>
        </right>
        <top/>
        <bottom/>
      </border>
    </dxf>
    <dxf>
      <fill>
        <patternFill>
          <fgColor theme="0"/>
          <bgColor theme="0"/>
        </patternFill>
      </fill>
      <border diagonalUp="0" diagonalDown="0">
        <left/>
        <right/>
        <top/>
        <bottom/>
        <vertical/>
        <horizontal/>
      </border>
    </dxf>
    <dxf>
      <font>
        <sz val="10"/>
        <color theme="0"/>
      </font>
      <fill>
        <patternFill>
          <bgColor theme="0"/>
        </patternFill>
      </fill>
      <border diagonalUp="0" diagonalDown="0">
        <left/>
        <right/>
        <top/>
        <bottom/>
        <vertical/>
        <horizontal/>
      </border>
    </dxf>
  </dxfs>
  <tableStyles count="6" defaultTableStyle="TableStyleMedium9" defaultPivotStyle="PivotStyleLight16">
    <tableStyle name="Slicer Style 1" pivot="0" table="0" count="0" xr9:uid="{85ADA59C-B125-4C79-8CB1-2C215C929E32}"/>
    <tableStyle name="Slicer Style 2" pivot="0" table="0" count="0" xr9:uid="{5FBAD486-7713-4664-9E14-0163EE3789AB}"/>
    <tableStyle name="Slicer Style 3" pivot="0" table="0" count="1" xr9:uid="{8776BD43-5CC1-40C8-A411-370DE719BE13}">
      <tableStyleElement type="wholeTable" dxfId="15"/>
    </tableStyle>
    <tableStyle name="Slicer Style 4" pivot="0" table="0" count="1" xr9:uid="{B6576D8A-BFA2-4833-9206-45CBA31B5305}"/>
    <tableStyle name="Slicer Style 5" pivot="0" table="0" count="1" xr9:uid="{265DB716-4C38-4C55-989B-C67B2F1CE88C}">
      <tableStyleElement type="wholeTable" dxfId="14"/>
    </tableStyle>
    <tableStyle name="Slicer Style 6" pivot="0" table="0" count="1" xr9:uid="{E0ADFE89-D344-46A4-BBA4-23909FC611E4}"/>
  </tableStyles>
  <colors>
    <mruColors>
      <color rgb="FF333F50"/>
    </mruColors>
  </colors>
  <extLst>
    <ext xmlns:x14="http://schemas.microsoft.com/office/spreadsheetml/2009/9/main" uri="{46F421CA-312F-682f-3DD2-61675219B42D}">
      <x14:dxfs count="2">
        <dxf>
          <fill>
            <patternFill>
              <bgColor theme="4"/>
            </patternFill>
          </fill>
        </dxf>
        <dxf>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NoData" dxfId="1"/>
          </x14:slicerStyleElements>
        </x14:slicerStyle>
        <x14:slicerStyle name="Slicer Style 5"/>
        <x14:slicerStyle name="Slicer Style 6">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9.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PRODUCTIVITY &amp; COST LEAKAGE ANALYSIS.xlsx]CL BY DEPT!PivotTable7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 BY DEPT'!$B$3</c:f>
              <c:strCache>
                <c:ptCount val="1"/>
                <c:pt idx="0">
                  <c:v>Total</c:v>
                </c:pt>
              </c:strCache>
            </c:strRef>
          </c:tx>
          <c:spPr>
            <a:solidFill>
              <a:schemeClr val="accent1"/>
            </a:solidFill>
            <a:ln>
              <a:noFill/>
            </a:ln>
            <a:effectLst/>
          </c:spPr>
          <c:invertIfNegative val="0"/>
          <c:cat>
            <c:strRef>
              <c:f>'CL BY DEPT'!$A$4:$A$8</c:f>
              <c:strCache>
                <c:ptCount val="4"/>
                <c:pt idx="0">
                  <c:v>Finance</c:v>
                </c:pt>
                <c:pt idx="1">
                  <c:v>HR</c:v>
                </c:pt>
                <c:pt idx="2">
                  <c:v>IT</c:v>
                </c:pt>
                <c:pt idx="3">
                  <c:v>Sales</c:v>
                </c:pt>
              </c:strCache>
            </c:strRef>
          </c:cat>
          <c:val>
            <c:numRef>
              <c:f>'CL BY DEPT'!$B$4:$B$8</c:f>
              <c:numCache>
                <c:formatCode>"₹"\ #,##0</c:formatCode>
                <c:ptCount val="4"/>
                <c:pt idx="0">
                  <c:v>194663.69968765191</c:v>
                </c:pt>
                <c:pt idx="1">
                  <c:v>303170.88164387317</c:v>
                </c:pt>
                <c:pt idx="2">
                  <c:v>184986.67503386951</c:v>
                </c:pt>
                <c:pt idx="3">
                  <c:v>206635.4034406454</c:v>
                </c:pt>
              </c:numCache>
            </c:numRef>
          </c:val>
          <c:extLst>
            <c:ext xmlns:c16="http://schemas.microsoft.com/office/drawing/2014/chart" uri="{C3380CC4-5D6E-409C-BE32-E72D297353CC}">
              <c16:uniqueId val="{00000000-6CE2-4DB6-910F-354A29EDB7DD}"/>
            </c:ext>
          </c:extLst>
        </c:ser>
        <c:dLbls>
          <c:showLegendKey val="0"/>
          <c:showVal val="0"/>
          <c:showCatName val="0"/>
          <c:showSerName val="0"/>
          <c:showPercent val="0"/>
          <c:showBubbleSize val="0"/>
        </c:dLbls>
        <c:gapWidth val="219"/>
        <c:overlap val="-27"/>
        <c:axId val="2130594623"/>
        <c:axId val="2130589343"/>
      </c:barChart>
      <c:catAx>
        <c:axId val="21305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89343"/>
        <c:crosses val="autoZero"/>
        <c:auto val="1"/>
        <c:lblAlgn val="ctr"/>
        <c:lblOffset val="100"/>
        <c:noMultiLvlLbl val="0"/>
      </c:catAx>
      <c:valAx>
        <c:axId val="2130589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9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PRODUCTIVITY &amp; COST LEAKAGE ANALYSIS.xlsx]CL BY MONTH!PivotTable8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'CL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'CL BY MONTH'!$A$4:$A$10</c:f>
              <c:strCache>
                <c:ptCount val="6"/>
                <c:pt idx="0">
                  <c:v>Apr-24</c:v>
                </c:pt>
                <c:pt idx="1">
                  <c:v>Feb-24</c:v>
                </c:pt>
                <c:pt idx="2">
                  <c:v>Jan-24</c:v>
                </c:pt>
                <c:pt idx="3">
                  <c:v>Jun-24</c:v>
                </c:pt>
                <c:pt idx="4">
                  <c:v>Mar-24</c:v>
                </c:pt>
                <c:pt idx="5">
                  <c:v>May-24</c:v>
                </c:pt>
              </c:strCache>
            </c:strRef>
          </c:cat>
          <c:val>
            <c:numRef>
              <c:f>'CL BY MONTH'!$B$4:$B$10</c:f>
              <c:numCache>
                <c:formatCode>"₹"\ #,##0</c:formatCode>
                <c:ptCount val="6"/>
                <c:pt idx="0">
                  <c:v>210336.9131389269</c:v>
                </c:pt>
                <c:pt idx="1">
                  <c:v>124211.60115050664</c:v>
                </c:pt>
                <c:pt idx="2">
                  <c:v>175243.82291718718</c:v>
                </c:pt>
                <c:pt idx="3">
                  <c:v>218332.83148947451</c:v>
                </c:pt>
                <c:pt idx="4">
                  <c:v>43062.096603755337</c:v>
                </c:pt>
                <c:pt idx="5">
                  <c:v>118269.39450618946</c:v>
                </c:pt>
              </c:numCache>
            </c:numRef>
          </c:val>
          <c:smooth val="0"/>
          <c:extLst>
            <c:ext xmlns:c16="http://schemas.microsoft.com/office/drawing/2014/chart" uri="{C3380CC4-5D6E-409C-BE32-E72D297353CC}">
              <c16:uniqueId val="{00000000-9AE3-43FA-8643-8CE46B2C57E9}"/>
            </c:ext>
          </c:extLst>
        </c:ser>
        <c:dLbls>
          <c:showLegendKey val="0"/>
          <c:showVal val="0"/>
          <c:showCatName val="0"/>
          <c:showSerName val="0"/>
          <c:showPercent val="0"/>
          <c:showBubbleSize val="0"/>
        </c:dLbls>
        <c:marker val="1"/>
        <c:smooth val="0"/>
        <c:axId val="562897391"/>
        <c:axId val="562902191"/>
      </c:lineChart>
      <c:catAx>
        <c:axId val="56289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02191"/>
        <c:crosses val="autoZero"/>
        <c:auto val="1"/>
        <c:lblAlgn val="ctr"/>
        <c:lblOffset val="100"/>
        <c:noMultiLvlLbl val="0"/>
      </c:catAx>
      <c:valAx>
        <c:axId val="56290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9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PRODUCTIVITY &amp; COST LEAKAGE ANALYSIS.xlsx]HIGH RISK BY DEPT!PivotTable9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RISK BY DEPT'!$B$3</c:f>
              <c:strCache>
                <c:ptCount val="1"/>
                <c:pt idx="0">
                  <c:v>Total</c:v>
                </c:pt>
              </c:strCache>
            </c:strRef>
          </c:tx>
          <c:spPr>
            <a:solidFill>
              <a:schemeClr val="accent1"/>
            </a:solidFill>
            <a:ln>
              <a:noFill/>
            </a:ln>
            <a:effectLst/>
          </c:spPr>
          <c:invertIfNegative val="0"/>
          <c:cat>
            <c:strRef>
              <c:f>'HIGH RISK BY DEPT'!$A$4:$A$8</c:f>
              <c:strCache>
                <c:ptCount val="4"/>
                <c:pt idx="0">
                  <c:v>Finance</c:v>
                </c:pt>
                <c:pt idx="1">
                  <c:v>HR</c:v>
                </c:pt>
                <c:pt idx="2">
                  <c:v>IT</c:v>
                </c:pt>
                <c:pt idx="3">
                  <c:v>Sales</c:v>
                </c:pt>
              </c:strCache>
            </c:strRef>
          </c:cat>
          <c:val>
            <c:numRef>
              <c:f>'HIGH RISK BY DEPT'!$B$4:$B$8</c:f>
              <c:numCache>
                <c:formatCode>General</c:formatCode>
                <c:ptCount val="4"/>
                <c:pt idx="0">
                  <c:v>40</c:v>
                </c:pt>
                <c:pt idx="1">
                  <c:v>62</c:v>
                </c:pt>
                <c:pt idx="2">
                  <c:v>46</c:v>
                </c:pt>
                <c:pt idx="3">
                  <c:v>36</c:v>
                </c:pt>
              </c:numCache>
            </c:numRef>
          </c:val>
          <c:extLst>
            <c:ext xmlns:c16="http://schemas.microsoft.com/office/drawing/2014/chart" uri="{C3380CC4-5D6E-409C-BE32-E72D297353CC}">
              <c16:uniqueId val="{00000000-E98A-4207-B645-0F8AACBF3281}"/>
            </c:ext>
          </c:extLst>
        </c:ser>
        <c:dLbls>
          <c:showLegendKey val="0"/>
          <c:showVal val="0"/>
          <c:showCatName val="0"/>
          <c:showSerName val="0"/>
          <c:showPercent val="0"/>
          <c:showBubbleSize val="0"/>
        </c:dLbls>
        <c:gapWidth val="219"/>
        <c:overlap val="-27"/>
        <c:axId val="582674127"/>
        <c:axId val="582670767"/>
      </c:barChart>
      <c:catAx>
        <c:axId val="58267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70767"/>
        <c:crosses val="autoZero"/>
        <c:auto val="1"/>
        <c:lblAlgn val="ctr"/>
        <c:lblOffset val="100"/>
        <c:noMultiLvlLbl val="0"/>
      </c:catAx>
      <c:valAx>
        <c:axId val="58267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7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Derived_Metrics!$U$2</c:f>
              <c:strCache>
                <c:ptCount val="1"/>
                <c:pt idx="0">
                  <c:v>Productivity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0-40E6-4F6A-9A28-54861F0F5F44}"/>
            </c:ext>
          </c:extLst>
        </c:ser>
        <c:dLbls>
          <c:dLblPos val="t"/>
          <c:showLegendKey val="0"/>
          <c:showVal val="1"/>
          <c:showCatName val="0"/>
          <c:showSerName val="0"/>
          <c:showPercent val="0"/>
          <c:showBubbleSize val="0"/>
        </c:dLbls>
        <c:axId val="566439007"/>
        <c:axId val="566441407"/>
      </c:scatterChart>
      <c:valAx>
        <c:axId val="566439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Absentism</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41407"/>
        <c:crosses val="autoZero"/>
        <c:crossBetween val="midCat"/>
      </c:valAx>
      <c:valAx>
        <c:axId val="56644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Productivity</a:t>
                </a:r>
              </a:p>
              <a:p>
                <a:pPr>
                  <a:defRPr/>
                </a:pPr>
                <a:endParaRPr lang="en-IN"/>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39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Derived_Metrics!$U$2</c:f>
              <c:strCache>
                <c:ptCount val="1"/>
                <c:pt idx="0">
                  <c:v>Productivity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0-F3D4-41FB-81B0-B575955A944F}"/>
            </c:ext>
          </c:extLst>
        </c:ser>
        <c:dLbls>
          <c:dLblPos val="t"/>
          <c:showLegendKey val="0"/>
          <c:showVal val="1"/>
          <c:showCatName val="0"/>
          <c:showSerName val="0"/>
          <c:showPercent val="0"/>
          <c:showBubbleSize val="0"/>
        </c:dLbls>
        <c:axId val="566439007"/>
        <c:axId val="566441407"/>
      </c:scatterChart>
      <c:valAx>
        <c:axId val="566439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Absentism</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41407"/>
        <c:crosses val="autoZero"/>
        <c:crossBetween val="midCat"/>
      </c:valAx>
      <c:valAx>
        <c:axId val="56644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Productivity</a:t>
                </a:r>
              </a:p>
              <a:p>
                <a:pPr>
                  <a:defRPr/>
                </a:pPr>
                <a:endParaRPr lang="en-IN"/>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39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PRODUCTIVITY &amp; COST LEAKAGE ANALYSIS.xlsx]cl by risk flag!PivotTable3</c:name>
    <c:fmtId val="9"/>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IN"/>
              <a:t>Cost</a:t>
            </a:r>
            <a:r>
              <a:rPr lang="en-IN" baseline="0"/>
              <a:t> Leakage By Risk Flag</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0581802274715"/>
          <c:y val="0.26328484981044037"/>
          <c:w val="0.70499781277340334"/>
          <c:h val="0.53774387576552929"/>
        </c:manualLayout>
      </c:layout>
      <c:barChart>
        <c:barDir val="col"/>
        <c:grouping val="clustered"/>
        <c:varyColors val="0"/>
        <c:ser>
          <c:idx val="0"/>
          <c:order val="0"/>
          <c:tx>
            <c:strRef>
              <c:f>'cl by risk flag'!$B$3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 by risk flag'!$A$4:$A$6</c:f>
              <c:strCache>
                <c:ptCount val="2"/>
                <c:pt idx="0">
                  <c:v>HIGH</c:v>
                </c:pt>
                <c:pt idx="1">
                  <c:v>MEDIUM</c:v>
                </c:pt>
              </c:strCache>
            </c:strRef>
          </c:cat>
          <c:val>
            <c:numRef>
              <c:f>'cl by risk flag'!$B$4:$B$6</c:f>
              <c:numCache>
                <c:formatCode>"₹"\ #,##0</c:formatCode>
                <c:ptCount val="2"/>
                <c:pt idx="0">
                  <c:v>601163.34946504992</c:v>
                </c:pt>
                <c:pt idx="1">
                  <c:v>288293.31034099025</c:v>
                </c:pt>
              </c:numCache>
            </c:numRef>
          </c:val>
          <c:extLst>
            <c:ext xmlns:c16="http://schemas.microsoft.com/office/drawing/2014/chart" uri="{C3380CC4-5D6E-409C-BE32-E72D297353CC}">
              <c16:uniqueId val="{00000000-0180-4DA2-BF67-46CA69EE00DC}"/>
            </c:ext>
          </c:extLst>
        </c:ser>
        <c:dLbls>
          <c:showLegendKey val="0"/>
          <c:showVal val="0"/>
          <c:showCatName val="0"/>
          <c:showSerName val="0"/>
          <c:showPercent val="0"/>
          <c:showBubbleSize val="0"/>
        </c:dLbls>
        <c:gapWidth val="219"/>
        <c:overlap val="-27"/>
        <c:axId val="1230820255"/>
        <c:axId val="1230823615"/>
      </c:barChart>
      <c:catAx>
        <c:axId val="12308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30823615"/>
        <c:crosses val="autoZero"/>
        <c:auto val="1"/>
        <c:lblAlgn val="ctr"/>
        <c:lblOffset val="100"/>
        <c:noMultiLvlLbl val="0"/>
      </c:catAx>
      <c:valAx>
        <c:axId val="123082361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308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Derived_Metrics!$U$2</c:f>
              <c:strCache>
                <c:ptCount val="1"/>
                <c:pt idx="0">
                  <c:v>Productivity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0-9955-481D-B41B-F690CB2868B7}"/>
            </c:ext>
          </c:extLst>
        </c:ser>
        <c:dLbls>
          <c:dLblPos val="t"/>
          <c:showLegendKey val="0"/>
          <c:showVal val="1"/>
          <c:showCatName val="0"/>
          <c:showSerName val="0"/>
          <c:showPercent val="0"/>
          <c:showBubbleSize val="0"/>
        </c:dLbls>
        <c:axId val="566439007"/>
        <c:axId val="566441407"/>
      </c:scatterChart>
      <c:valAx>
        <c:axId val="566439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Absentism</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41407"/>
        <c:crosses val="autoZero"/>
        <c:crossBetween val="midCat"/>
      </c:valAx>
      <c:valAx>
        <c:axId val="56644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Productivity</a:t>
                </a:r>
              </a:p>
              <a:p>
                <a:pPr>
                  <a:defRPr/>
                </a:pPr>
                <a:endParaRPr lang="en-IN"/>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439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PRODUCTIVITY &amp; COST LEAKAGE ANALYSIS.xlsx]CL BY DEPT!PivotTable7</c:name>
    <c:fmtId val="29"/>
  </c:pivotSource>
  <c:chart>
    <c:title>
      <c:tx>
        <c:rich>
          <a:bodyPr rot="0" spcFirstLastPara="1" vertOverflow="ellipsis" vert="horz" wrap="square" anchor="ctr" anchorCtr="1"/>
          <a:lstStyle/>
          <a:p>
            <a:pPr algn="ctr" rtl="0">
              <a:defRPr lang="en-US"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rPr>
              <a:t>COSTLEAKAGE BYDEPARTMENT</a:t>
            </a:r>
          </a:p>
        </c:rich>
      </c:tx>
      <c:layout>
        <c:manualLayout>
          <c:xMode val="edge"/>
          <c:yMode val="edge"/>
          <c:x val="0.12862645047658516"/>
          <c:y val="7.0175438596491224E-2"/>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fld id="{3C187A7F-31A1-4FF2-8494-2BDBAADF21C3}" type="VALUE">
                  <a:rPr lang="en-US">
                    <a:solidFill>
                      <a:srgbClr val="333F50"/>
                    </a:solidFill>
                  </a:rPr>
                  <a:pPr>
                    <a:defRPr lang="en-US"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fld id="{3C187A7F-31A1-4FF2-8494-2BDBAADF21C3}" type="VALUE">
                  <a:rPr lang="en-US">
                    <a:solidFill>
                      <a:srgbClr val="333F50"/>
                    </a:solidFill>
                  </a:rPr>
                  <a:pPr>
                    <a:defRPr lang="en-US"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fld id="{3C187A7F-31A1-4FF2-8494-2BDBAADF21C3}" type="VALUE">
                  <a:rPr lang="en-US">
                    <a:solidFill>
                      <a:srgbClr val="333F50"/>
                    </a:solidFill>
                  </a:rPr>
                  <a:pPr>
                    <a:defRPr lang="en-US"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fld id="{3C187A7F-31A1-4FF2-8494-2BDBAADF21C3}" type="VALUE">
                  <a:rPr lang="en-US"/>
                  <a:pPr>
                    <a:defRPr lang="en-US"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fld id="{3C187A7F-31A1-4FF2-8494-2BDBAADF21C3}" type="VALUE">
                  <a:rPr lang="en-US"/>
                  <a:pPr>
                    <a:defRPr lang="en-US"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3C187A7F-31A1-4FF2-8494-2BDBAADF21C3}" type="VALUE">
                  <a: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pPr>
                    <a:defRPr cap="none" spc="0">
                      <a:ln w="0"/>
                      <a:solidFill>
                        <a:schemeClr val="tx1"/>
                      </a:solidFill>
                      <a:effectLst>
                        <a:outerShdw blurRad="38100" dist="19050" dir="2700000" algn="tl" rotWithShape="0">
                          <a:schemeClr val="dk1">
                            <a:alpha val="40000"/>
                          </a:schemeClr>
                        </a:outerShdw>
                      </a:effectLst>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5406651471197682E-2"/>
          <c:y val="0.23356264677441635"/>
          <c:w val="0.94156706507304122"/>
          <c:h val="0.57005166459455725"/>
        </c:manualLayout>
      </c:layout>
      <c:barChart>
        <c:barDir val="col"/>
        <c:grouping val="clustered"/>
        <c:varyColors val="0"/>
        <c:ser>
          <c:idx val="0"/>
          <c:order val="0"/>
          <c:tx>
            <c:strRef>
              <c:f>'CL BY DEPT'!$B$3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8A87-4897-BEE5-CCF1440BBCAC}"/>
              </c:ext>
            </c:extLst>
          </c:dPt>
          <c:dLbls>
            <c:dLbl>
              <c:idx val="2"/>
              <c:tx>
                <c:rich>
                  <a:bodyPr/>
                  <a:lstStyle/>
                  <a:p>
                    <a:fld id="{3C187A7F-31A1-4FF2-8494-2BDBAADF21C3}" type="VALUE">
                      <a: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A87-4897-BEE5-CCF1440BBCAC}"/>
                </c:ext>
              </c:extLst>
            </c:dLbl>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'CL BY DEPT'!$A$4:$A$8</c:f>
              <c:strCache>
                <c:ptCount val="4"/>
                <c:pt idx="0">
                  <c:v>Finance</c:v>
                </c:pt>
                <c:pt idx="1">
                  <c:v>HR</c:v>
                </c:pt>
                <c:pt idx="2">
                  <c:v>IT</c:v>
                </c:pt>
                <c:pt idx="3">
                  <c:v>Sales</c:v>
                </c:pt>
              </c:strCache>
            </c:strRef>
          </c:cat>
          <c:val>
            <c:numRef>
              <c:f>'CL BY DEPT'!$B$4:$B$8</c:f>
              <c:numCache>
                <c:formatCode>"₹"\ #,##0</c:formatCode>
                <c:ptCount val="4"/>
                <c:pt idx="0">
                  <c:v>194663.69968765191</c:v>
                </c:pt>
                <c:pt idx="1">
                  <c:v>303170.88164387317</c:v>
                </c:pt>
                <c:pt idx="2">
                  <c:v>184986.67503386951</c:v>
                </c:pt>
                <c:pt idx="3">
                  <c:v>206635.4034406454</c:v>
                </c:pt>
              </c:numCache>
            </c:numRef>
          </c:val>
          <c:extLst>
            <c:ext xmlns:c16="http://schemas.microsoft.com/office/drawing/2014/chart" uri="{C3380CC4-5D6E-409C-BE32-E72D297353CC}">
              <c16:uniqueId val="{00000001-8A87-4897-BEE5-CCF1440BBCAC}"/>
            </c:ext>
          </c:extLst>
        </c:ser>
        <c:dLbls>
          <c:showLegendKey val="0"/>
          <c:showVal val="0"/>
          <c:showCatName val="0"/>
          <c:showSerName val="0"/>
          <c:showPercent val="0"/>
          <c:showBubbleSize val="0"/>
        </c:dLbls>
        <c:gapWidth val="100"/>
        <c:overlap val="-24"/>
        <c:axId val="2130594623"/>
        <c:axId val="2130589343"/>
      </c:barChart>
      <c:catAx>
        <c:axId val="2130594623"/>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lang="en-US"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30589343"/>
        <c:crosses val="autoZero"/>
        <c:auto val="1"/>
        <c:lblAlgn val="ctr"/>
        <c:lblOffset val="100"/>
        <c:noMultiLvlLbl val="0"/>
      </c:catAx>
      <c:valAx>
        <c:axId val="2130589343"/>
        <c:scaling>
          <c:orientation val="minMax"/>
        </c:scaling>
        <c:delete val="1"/>
        <c:axPos val="l"/>
        <c:numFmt formatCode="&quot;₹&quot;\ #,##0" sourceLinked="1"/>
        <c:majorTickMark val="none"/>
        <c:minorTickMark val="none"/>
        <c:tickLblPos val="nextTo"/>
        <c:crossAx val="2130594623"/>
        <c:crosses val="autoZero"/>
        <c:crossBetween val="between"/>
      </c:valAx>
      <c:spPr>
        <a:noFill/>
        <a:ln>
          <a:solidFill>
            <a:schemeClr val="bg1">
              <a:lumMod val="95000"/>
            </a:schemeClr>
          </a:solidFill>
        </a:ln>
        <a:effectLst/>
      </c:spPr>
    </c:plotArea>
    <c:plotVisOnly val="1"/>
    <c:dispBlanksAs val="gap"/>
    <c:showDLblsOverMax val="0"/>
    <c:extLst/>
  </c:chart>
  <c:spPr>
    <a:noFill/>
    <a:ln>
      <a:noFill/>
    </a:ln>
    <a:effectLst>
      <a:outerShdw blurRad="50800" dist="38100" dir="5400000" algn="t" rotWithShape="0">
        <a:prstClr val="black">
          <a:alpha val="40000"/>
        </a:prstClr>
      </a:outerShdw>
    </a:effectLst>
  </c:spPr>
  <c:txPr>
    <a:bodyPr/>
    <a:lstStyle/>
    <a:p>
      <a:pPr>
        <a:defRPr lang="en-US" sz="900" b="0" i="0" u="none" strike="noStrike" kern="1200" baseline="0">
          <a:solidFill>
            <a:srgbClr val="333F5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PRODUCTIVITY &amp; COST LEAKAGE ANALYSIS.xlsx]HIGH RISK BY DEPT!PivotTable9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333F50"/>
                </a:solidFill>
              </a:rPr>
              <a:t>HIGH</a:t>
            </a:r>
            <a:r>
              <a:rPr lang="en-IN" baseline="0">
                <a:solidFill>
                  <a:srgbClr val="333F50"/>
                </a:solidFill>
              </a:rPr>
              <a:t> RISK BY DEPARTMENT </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fld id="{0EA343EC-C6E5-4D8A-8392-A71B027E0010}" type="VALUE">
                  <a:rPr lang="en-US" b="0" cap="none" spc="0">
                    <a:ln w="0"/>
                    <a:solidFill>
                      <a:schemeClr val="tx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fld id="{DBEB6CAD-0217-4E87-8AE7-EFE92D62A078}" type="VALUE">
                  <a:rPr lang="en-US" b="0" cap="none" spc="0">
                    <a:ln w="0"/>
                    <a:solidFill>
                      <a:schemeClr val="tx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9024843761537478E-2"/>
          <c:y val="0.21020997375328085"/>
          <c:w val="0.83661813373072613"/>
          <c:h val="0.62659329515628714"/>
        </c:manualLayout>
      </c:layout>
      <c:barChart>
        <c:barDir val="col"/>
        <c:grouping val="clustered"/>
        <c:varyColors val="0"/>
        <c:ser>
          <c:idx val="0"/>
          <c:order val="0"/>
          <c:tx>
            <c:strRef>
              <c:f>'HIGH RISK BY DEPT'!$B$3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D7C-4A8F-8C7D-3FEA4D7515AB}"/>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D7C-4A8F-8C7D-3FEA4D7515AB}"/>
              </c:ext>
            </c:extLst>
          </c:dPt>
          <c:dLbls>
            <c:dLbl>
              <c:idx val="0"/>
              <c:tx>
                <c:rich>
                  <a:bodyPr/>
                  <a:lstStyle/>
                  <a:p>
                    <a:fld id="{0EA343EC-C6E5-4D8A-8392-A71B027E0010}" type="VALUE">
                      <a:rPr lang="en-US" b="0" cap="none" spc="0">
                        <a:ln w="0"/>
                        <a:solidFill>
                          <a:schemeClr val="tx1"/>
                        </a:solidFill>
                        <a:effectLst>
                          <a:outerShdw blurRad="38100" dist="19050" dir="2700000" algn="tl" rotWithShape="0">
                            <a:schemeClr val="dk1">
                              <a:alpha val="40000"/>
                            </a:schemeClr>
                          </a:outerShdw>
                        </a:effectLst>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D7C-4A8F-8C7D-3FEA4D7515AB}"/>
                </c:ext>
              </c:extLst>
            </c:dLbl>
            <c:dLbl>
              <c:idx val="1"/>
              <c:tx>
                <c:rich>
                  <a:bodyPr/>
                  <a:lstStyle/>
                  <a:p>
                    <a:fld id="{DBEB6CAD-0217-4E87-8AE7-EFE92D62A078}" type="VALUE">
                      <a:rPr lang="en-US" b="0" cap="none" spc="0">
                        <a:ln w="0"/>
                        <a:solidFill>
                          <a:schemeClr val="tx1"/>
                        </a:solidFill>
                        <a:effectLst>
                          <a:outerShdw blurRad="38100" dist="19050" dir="2700000" algn="tl" rotWithShape="0">
                            <a:schemeClr val="dk1">
                              <a:alpha val="40000"/>
                            </a:schemeClr>
                          </a:outerShdw>
                        </a:effectLst>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D7C-4A8F-8C7D-3FEA4D7515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 RISK BY DEPT'!$A$4:$A$8</c:f>
              <c:strCache>
                <c:ptCount val="4"/>
                <c:pt idx="0">
                  <c:v>Finance</c:v>
                </c:pt>
                <c:pt idx="1">
                  <c:v>HR</c:v>
                </c:pt>
                <c:pt idx="2">
                  <c:v>IT</c:v>
                </c:pt>
                <c:pt idx="3">
                  <c:v>Sales</c:v>
                </c:pt>
              </c:strCache>
            </c:strRef>
          </c:cat>
          <c:val>
            <c:numRef>
              <c:f>'HIGH RISK BY DEPT'!$B$4:$B$8</c:f>
              <c:numCache>
                <c:formatCode>General</c:formatCode>
                <c:ptCount val="4"/>
                <c:pt idx="0">
                  <c:v>40</c:v>
                </c:pt>
                <c:pt idx="1">
                  <c:v>62</c:v>
                </c:pt>
                <c:pt idx="2">
                  <c:v>46</c:v>
                </c:pt>
                <c:pt idx="3">
                  <c:v>36</c:v>
                </c:pt>
              </c:numCache>
            </c:numRef>
          </c:val>
          <c:extLst>
            <c:ext xmlns:c16="http://schemas.microsoft.com/office/drawing/2014/chart" uri="{C3380CC4-5D6E-409C-BE32-E72D297353CC}">
              <c16:uniqueId val="{00000000-9D7C-4A8F-8C7D-3FEA4D7515AB}"/>
            </c:ext>
          </c:extLst>
        </c:ser>
        <c:dLbls>
          <c:dLblPos val="outEnd"/>
          <c:showLegendKey val="0"/>
          <c:showVal val="1"/>
          <c:showCatName val="0"/>
          <c:showSerName val="0"/>
          <c:showPercent val="0"/>
          <c:showBubbleSize val="0"/>
        </c:dLbls>
        <c:gapWidth val="100"/>
        <c:overlap val="-24"/>
        <c:axId val="2130594623"/>
        <c:axId val="2130589343"/>
      </c:barChart>
      <c:catAx>
        <c:axId val="2130594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30589343"/>
        <c:crosses val="autoZero"/>
        <c:auto val="1"/>
        <c:lblAlgn val="ctr"/>
        <c:lblOffset val="100"/>
        <c:noMultiLvlLbl val="0"/>
      </c:catAx>
      <c:valAx>
        <c:axId val="2130589343"/>
        <c:scaling>
          <c:orientation val="minMax"/>
        </c:scaling>
        <c:delete val="1"/>
        <c:axPos val="l"/>
        <c:numFmt formatCode="General" sourceLinked="1"/>
        <c:majorTickMark val="none"/>
        <c:minorTickMark val="none"/>
        <c:tickLblPos val="nextTo"/>
        <c:crossAx val="2130594623"/>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PRODUCTIVITY &amp; COST LEAKAGE ANALYSIS.xlsx]CL BY MONTH!PivotTable8</c:name>
    <c:fmtId val="13"/>
  </c:pivotSource>
  <c:chart>
    <c:title>
      <c:tx>
        <c:rich>
          <a:bodyPr rot="0" spcFirstLastPara="1" vertOverflow="ellipsis" vert="horz" wrap="square" anchor="ctr" anchorCtr="1"/>
          <a:lstStyle/>
          <a:p>
            <a:pPr algn="ctr" rtl="0">
              <a:defRPr lang="en-US" sz="1600" b="1" i="0" u="none" strike="noStrike" kern="1200" cap="none" spc="100" baseline="0">
                <a:solidFill>
                  <a:srgbClr val="333F50"/>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rPr>
              <a:t>COST LEAKAGE BY MONTH</a:t>
            </a:r>
          </a:p>
          <a:p>
            <a:pPr algn="ctr" rtl="0">
              <a:defRPr sz="1600" b="1" spc="100">
                <a:effectLst>
                  <a:outerShdw blurRad="50800" dist="38100" dir="5400000" algn="t" rotWithShape="0">
                    <a:prstClr val="black">
                      <a:alpha val="40000"/>
                    </a:prstClr>
                  </a:outerShdw>
                </a:effectLst>
              </a:defRPr>
            </a:pPr>
            <a:endParaRPr lang="en-US"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cap="none" spc="100" baseline="0">
              <a:solidFill>
                <a:srgbClr val="333F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5"/>
            </a:solidFill>
            <a:miter lim="800000"/>
          </a:ln>
          <a:effectLst>
            <a:glow rad="139700">
              <a:schemeClr val="accent5">
                <a:satMod val="175000"/>
                <a:alpha val="14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22225" cap="rnd" cmpd="sng" algn="ctr">
            <a:solidFill>
              <a:schemeClr val="accent5"/>
            </a:solidFill>
            <a:miter lim="800000"/>
          </a:ln>
          <a:effectLst>
            <a:glow rad="139700">
              <a:schemeClr val="accent5">
                <a:satMod val="175000"/>
                <a:alpha val="14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w="22225" cap="rnd" cmpd="sng" algn="ctr">
            <a:solidFill>
              <a:schemeClr val="accent5"/>
            </a:solidFill>
            <a:miter lim="800000"/>
          </a:ln>
          <a:effectLst>
            <a:glow rad="139700">
              <a:schemeClr val="accent5">
                <a:satMod val="175000"/>
                <a:alpha val="14000"/>
              </a:schemeClr>
            </a:glow>
          </a:effectLst>
        </c:spPr>
        <c:marker>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tx>
            <c:rich>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fld id="{67E8088A-7F89-4A76-8335-AF0413B3447A}" type="VALUE">
                  <a:rPr lang="en-US" b="0"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pPr algn="ctr" rtl="0">
                    <a:defRPr/>
                  </a:pPr>
                  <a:t>[VALUE]</a:t>
                </a:fld>
                <a:endParaRPr lang="en-IN"/>
              </a:p>
            </c:rich>
          </c:tx>
          <c:spPr>
            <a:noFill/>
            <a:ln>
              <a:noFill/>
            </a:ln>
            <a:effectLst/>
          </c:spPr>
          <c:txPr>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layout>
            <c:manualLayout>
              <c:x val="-6.5798907738059187E-2"/>
              <c:y val="-8.3475924078083297E-2"/>
            </c:manualLayout>
          </c:layout>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fld id="{B51B56AA-BDB4-4D70-98FD-C1F052BCD88B}" type="VALUE">
                  <a: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rPr>
                  <a:pPr>
                    <a:defRPr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fld id="{F9401F5B-C04C-4656-A390-8086F12DD84D}" type="VALUE">
                  <a:rPr lang="en-US">
                    <a:latin typeface="Comic Sans MS" panose="030F0702030302020204" pitchFamily="66" charset="0"/>
                  </a:rPr>
                  <a:pPr>
                    <a:defRPr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tx>
            <c:rich>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fld id="{9A5619DF-FA43-44E5-A437-FC7AB1B33F15}" type="VALUE">
                  <a:rPr lang="en-US">
                    <a:latin typeface="Comic Sans MS" panose="030F0702030302020204" pitchFamily="66" charset="0"/>
                  </a:rPr>
                  <a:pPr algn="ctr" rtl="0">
                    <a:defRPr/>
                  </a:pPr>
                  <a:t>[VALUE]</a:t>
                </a:fld>
                <a:endParaRPr lang="en-IN"/>
              </a:p>
            </c:rich>
          </c:tx>
          <c:spPr>
            <a:noFill/>
            <a:ln>
              <a:noFill/>
            </a:ln>
            <a:effectLst/>
          </c:spPr>
          <c:txPr>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
        <c:idx val="1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tx>
            <c:rich>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fld id="{79C14761-281D-4C39-AB38-2FAF7D3FF677}" type="VALUE">
                  <a:rPr lang="en-US">
                    <a:latin typeface="Comic Sans MS" panose="030F0702030302020204" pitchFamily="66" charset="0"/>
                  </a:rPr>
                  <a:pPr algn="ctr" rtl="0">
                    <a:defRPr/>
                  </a:pPr>
                  <a:t>[VALUE]</a:t>
                </a:fld>
                <a:endParaRPr lang="en-IN"/>
              </a:p>
            </c:rich>
          </c:tx>
          <c:spPr>
            <a:noFill/>
            <a:ln>
              <a:noFill/>
            </a:ln>
            <a:effectLst/>
          </c:spPr>
          <c:txPr>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cked"/>
        <c:varyColors val="0"/>
        <c:ser>
          <c:idx val="0"/>
          <c:order val="0"/>
          <c:tx>
            <c:strRef>
              <c:f>'CL BY MONTH'!$B$3</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Pt>
            <c:idx val="0"/>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1-BC76-4E4A-9B16-2E5FE7DE0A3E}"/>
              </c:ext>
            </c:extLst>
          </c:dPt>
          <c:dPt>
            <c:idx val="1"/>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0-DF2F-4F59-BAD1-A156BBCCDEA9}"/>
              </c:ext>
            </c:extLst>
          </c:dPt>
          <c:dPt>
            <c:idx val="2"/>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1-DF2F-4F59-BAD1-A156BBCCDEA9}"/>
              </c:ext>
            </c:extLst>
          </c:dPt>
          <c:dPt>
            <c:idx val="3"/>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4-DF2F-4F59-BAD1-A156BBCCDEA9}"/>
              </c:ext>
            </c:extLst>
          </c:dPt>
          <c:dPt>
            <c:idx val="5"/>
            <c:marker>
              <c:symbol val="circle"/>
              <c:size val="4"/>
              <c:spPr>
                <a:solidFill>
                  <a:schemeClr val="accent5">
                    <a:lumMod val="60000"/>
                    <a:lumOff val="40000"/>
                  </a:schemeClr>
                </a:solidFill>
                <a:ln>
                  <a:noFill/>
                </a:ln>
                <a:effectLst>
                  <a:glow rad="63500">
                    <a:schemeClr val="accent5">
                      <a:satMod val="175000"/>
                      <a:alpha val="25000"/>
                    </a:schemeClr>
                  </a:glow>
                </a:effectLst>
              </c:spPr>
            </c:marker>
            <c:bubble3D val="0"/>
            <c:spPr>
              <a:ln w="22225" cap="rnd">
                <a:solidFill>
                  <a:schemeClr val="accent5"/>
                </a:solidFill>
              </a:ln>
              <a:effectLst>
                <a:glow rad="139700">
                  <a:schemeClr val="accent5">
                    <a:satMod val="175000"/>
                    <a:alpha val="14000"/>
                  </a:schemeClr>
                </a:glow>
              </a:effectLst>
            </c:spPr>
            <c:extLst>
              <c:ext xmlns:c16="http://schemas.microsoft.com/office/drawing/2014/chart" uri="{C3380CC4-5D6E-409C-BE32-E72D297353CC}">
                <c16:uniqueId val="{00000003-DF2F-4F59-BAD1-A156BBCCDEA9}"/>
              </c:ext>
            </c:extLst>
          </c:dPt>
          <c:dLbls>
            <c:dLbl>
              <c:idx val="0"/>
              <c:tx>
                <c:rich>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fld id="{67E8088A-7F89-4A76-8335-AF0413B3447A}" type="VALUE">
                      <a:rPr lang="en-US" b="0"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rPr>
                      <a:pPr algn="ctr" rtl="0">
                        <a:defRPr/>
                      </a:pPr>
                      <a:t>[VALUE]</a:t>
                    </a:fld>
                    <a:endParaRPr lang="en-IN"/>
                  </a:p>
                </c:rich>
              </c:tx>
              <c:spPr>
                <a:noFill/>
                <a:ln>
                  <a:noFill/>
                </a:ln>
                <a:effectLst/>
              </c:spPr>
              <c:txPr>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C76-4E4A-9B16-2E5FE7DE0A3E}"/>
                </c:ext>
              </c:extLst>
            </c:dLbl>
            <c:dLbl>
              <c:idx val="1"/>
              <c:layout>
                <c:manualLayout>
                  <c:x val="-6.5798907738059187E-2"/>
                  <c:y val="-8.3475924078083297E-2"/>
                </c:manualLayout>
              </c:layout>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fld id="{B51B56AA-BDB4-4D70-98FD-C1F052BCD88B}" type="VALUE">
                      <a: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rPr>
                      <a:pPr>
                        <a:defRPr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F2F-4F59-BAD1-A156BBCCDEA9}"/>
                </c:ext>
              </c:extLst>
            </c:dLbl>
            <c:dLbl>
              <c:idx val="2"/>
              <c:tx>
                <c:rich>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fld id="{F9401F5B-C04C-4656-A390-8086F12DD84D}" type="VALUE">
                      <a:rPr lang="en-US">
                        <a:latin typeface="Comic Sans MS" panose="030F0702030302020204" pitchFamily="66" charset="0"/>
                      </a:rPr>
                      <a:pPr>
                        <a:defRPr cap="none" spc="0">
                          <a:ln w="0"/>
                          <a:solidFill>
                            <a:schemeClr val="tx1"/>
                          </a:solidFill>
                          <a:effectLst>
                            <a:outerShdw blurRad="38100" dist="19050" dir="2700000" algn="tl" rotWithShape="0">
                              <a:schemeClr val="dk1">
                                <a:alpha val="40000"/>
                              </a:schemeClr>
                            </a:outerShdw>
                          </a:effectLst>
                          <a:latin typeface="Comic Sans MS" panose="030F0702030302020204" pitchFamily="66" charset="0"/>
                        </a:defRPr>
                      </a:pPr>
                      <a:t>[VALUE]</a:t>
                    </a:fld>
                    <a:endParaRPr lang="en-IN"/>
                  </a:p>
                </c:rich>
              </c:tx>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Comic Sans MS" panose="030F0702030302020204" pitchFamily="66" charset="0"/>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2F-4F59-BAD1-A156BBCCDEA9}"/>
                </c:ext>
              </c:extLst>
            </c:dLbl>
            <c:dLbl>
              <c:idx val="3"/>
              <c:tx>
                <c:rich>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fld id="{9A5619DF-FA43-44E5-A437-FC7AB1B33F15}" type="VALUE">
                      <a:rPr lang="en-US">
                        <a:latin typeface="Comic Sans MS" panose="030F0702030302020204" pitchFamily="66" charset="0"/>
                      </a:rPr>
                      <a:pPr algn="ctr" rtl="0">
                        <a:defRPr/>
                      </a:pPr>
                      <a:t>[VALUE]</a:t>
                    </a:fld>
                    <a:endParaRPr lang="en-IN"/>
                  </a:p>
                </c:rich>
              </c:tx>
              <c:spPr>
                <a:noFill/>
                <a:ln>
                  <a:noFill/>
                </a:ln>
                <a:effectLst/>
              </c:spPr>
              <c:txPr>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F2F-4F59-BAD1-A156BBCCDEA9}"/>
                </c:ext>
              </c:extLst>
            </c:dLbl>
            <c:dLbl>
              <c:idx val="5"/>
              <c:tx>
                <c:rich>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fld id="{79C14761-281D-4C39-AB38-2FAF7D3FF677}" type="VALUE">
                      <a:rPr lang="en-US">
                        <a:latin typeface="Comic Sans MS" panose="030F0702030302020204" pitchFamily="66" charset="0"/>
                      </a:rPr>
                      <a:pPr algn="ctr" rtl="0">
                        <a:defRPr/>
                      </a:pPr>
                      <a:t>[VALUE]</a:t>
                    </a:fld>
                    <a:endParaRPr lang="en-IN"/>
                  </a:p>
                </c:rich>
              </c:tx>
              <c:spPr>
                <a:noFill/>
                <a:ln>
                  <a:noFill/>
                </a:ln>
                <a:effectLst/>
              </c:spPr>
              <c:txPr>
                <a:bodyPr rot="0" spcFirstLastPara="1" vertOverflow="ellipsis" vert="horz" wrap="square" anchor="ctr" anchorCtr="0"/>
                <a:lstStyle/>
                <a:p>
                  <a:pPr algn="ctr" rtl="0">
                    <a:defRPr lang="en-US" sz="900" b="0" i="0" u="none" strike="noStrike" kern="1200" baseline="0">
                      <a:solidFill>
                        <a:srgbClr val="333F5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F2F-4F59-BAD1-A156BBCCDEA9}"/>
                </c:ext>
              </c:extLst>
            </c:dLbl>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'CL BY MONTH'!$A$4:$A$10</c:f>
              <c:strCache>
                <c:ptCount val="6"/>
                <c:pt idx="0">
                  <c:v>Apr-24</c:v>
                </c:pt>
                <c:pt idx="1">
                  <c:v>Feb-24</c:v>
                </c:pt>
                <c:pt idx="2">
                  <c:v>Jan-24</c:v>
                </c:pt>
                <c:pt idx="3">
                  <c:v>Jun-24</c:v>
                </c:pt>
                <c:pt idx="4">
                  <c:v>Mar-24</c:v>
                </c:pt>
                <c:pt idx="5">
                  <c:v>May-24</c:v>
                </c:pt>
              </c:strCache>
            </c:strRef>
          </c:cat>
          <c:val>
            <c:numRef>
              <c:f>'CL BY MONTH'!$B$4:$B$10</c:f>
              <c:numCache>
                <c:formatCode>"₹"\ #,##0</c:formatCode>
                <c:ptCount val="6"/>
                <c:pt idx="0">
                  <c:v>210336.9131389269</c:v>
                </c:pt>
                <c:pt idx="1">
                  <c:v>124211.60115050664</c:v>
                </c:pt>
                <c:pt idx="2">
                  <c:v>175243.82291718718</c:v>
                </c:pt>
                <c:pt idx="3">
                  <c:v>218332.83148947451</c:v>
                </c:pt>
                <c:pt idx="4">
                  <c:v>43062.096603755337</c:v>
                </c:pt>
                <c:pt idx="5">
                  <c:v>118269.39450618946</c:v>
                </c:pt>
              </c:numCache>
            </c:numRef>
          </c:val>
          <c:smooth val="0"/>
          <c:extLst>
            <c:ext xmlns:c16="http://schemas.microsoft.com/office/drawing/2014/chart" uri="{C3380CC4-5D6E-409C-BE32-E72D297353CC}">
              <c16:uniqueId val="{00000000-BC76-4E4A-9B16-2E5FE7DE0A3E}"/>
            </c:ext>
          </c:extLst>
        </c:ser>
        <c:dLbls>
          <c:dLblPos val="t"/>
          <c:showLegendKey val="0"/>
          <c:showVal val="1"/>
          <c:showCatName val="0"/>
          <c:showSerName val="0"/>
          <c:showPercent val="0"/>
          <c:showBubbleSize val="0"/>
        </c:dLbls>
        <c:marker val="1"/>
        <c:smooth val="0"/>
        <c:axId val="562897391"/>
        <c:axId val="562902191"/>
      </c:lineChart>
      <c:catAx>
        <c:axId val="562897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62902191"/>
        <c:crosses val="autoZero"/>
        <c:auto val="1"/>
        <c:lblAlgn val="ctr"/>
        <c:lblOffset val="100"/>
        <c:noMultiLvlLbl val="0"/>
      </c:catAx>
      <c:valAx>
        <c:axId val="562902191"/>
        <c:scaling>
          <c:orientation val="minMax"/>
        </c:scaling>
        <c:delete val="1"/>
        <c:axPos val="l"/>
        <c:numFmt formatCode="&quot;₹&quot;\ #,##0" sourceLinked="1"/>
        <c:majorTickMark val="none"/>
        <c:minorTickMark val="none"/>
        <c:tickLblPos val="nextTo"/>
        <c:crossAx val="5628973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lang="en-US" sz="900" b="0" i="0" u="none" strike="noStrike" kern="1200" baseline="0">
          <a:solidFill>
            <a:srgbClr val="333F5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vert="horz"/>
          <a:lstStyle/>
          <a:p>
            <a:pPr algn="ctr" rtl="0">
              <a:defRPr lang="en-IN"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rPr>
              <a:t>Absenteeism vs Productivity</a:t>
            </a:r>
          </a:p>
          <a:p>
            <a:pPr algn="ctr" rtl="0">
              <a:defRPr lang="en-IN"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defRPr>
            </a:pPr>
            <a:endParaRPr lang="en-IN" sz="1600" b="1" i="0" u="none" strike="noStrike" kern="1200" spc="100" baseline="0">
              <a:solidFill>
                <a:srgbClr val="333F50"/>
              </a:solidFill>
              <a:effectLst>
                <a:outerShdw blurRad="50800" dist="38100" dir="5400000" algn="t" rotWithShape="0">
                  <a:prstClr val="black">
                    <a:alpha val="40000"/>
                  </a:prstClr>
                </a:outerShdw>
              </a:effectLst>
              <a:latin typeface="+mn-lt"/>
              <a:ea typeface="+mn-ea"/>
              <a:cs typeface="+mn-cs"/>
            </a:endParaRPr>
          </a:p>
        </c:rich>
      </c:tx>
      <c:layout>
        <c:manualLayout>
          <c:xMode val="edge"/>
          <c:yMode val="edge"/>
          <c:x val="0.59203054910228992"/>
          <c:y val="3.8461538461538464E-2"/>
        </c:manualLayout>
      </c:layout>
      <c:overlay val="0"/>
      <c:spPr>
        <a:noFill/>
        <a:ln>
          <a:noFill/>
        </a:ln>
        <a:effectLst/>
      </c:spPr>
    </c:title>
    <c:autoTitleDeleted val="0"/>
    <c:plotArea>
      <c:layout>
        <c:manualLayout>
          <c:layoutTarget val="inner"/>
          <c:xMode val="edge"/>
          <c:yMode val="edge"/>
          <c:x val="0.15354757925869317"/>
          <c:y val="0.22105239248940037"/>
          <c:w val="0.69454728529539145"/>
          <c:h val="0.44324853624066224"/>
        </c:manualLayout>
      </c:layout>
      <c:scatterChart>
        <c:scatterStyle val="lineMarker"/>
        <c:varyColors val="0"/>
        <c:ser>
          <c:idx val="2"/>
          <c:order val="0"/>
          <c:tx>
            <c:strRef>
              <c:f>Derived_Metrics!$U$2</c:f>
              <c:strCache>
                <c:ptCount val="1"/>
                <c:pt idx="0">
                  <c:v>Productivity</c:v>
                </c:pt>
              </c:strCache>
            </c:strRef>
          </c:tx>
          <c:spPr>
            <a:ln w="25400">
              <a:noFill/>
            </a:ln>
          </c:spP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0-B69A-402E-AC0A-7BA3A310419D}"/>
            </c:ext>
          </c:extLst>
        </c:ser>
        <c:ser>
          <c:idx val="3"/>
          <c:order val="1"/>
          <c:tx>
            <c:strRef>
              <c:f>Derived_Metrics!$U$2</c:f>
              <c:strCache>
                <c:ptCount val="1"/>
                <c:pt idx="0">
                  <c:v>Productivity</c:v>
                </c:pt>
              </c:strCache>
            </c:strRef>
          </c:tx>
          <c:spPr>
            <a:ln w="25400">
              <a:noFill/>
            </a:ln>
          </c:spP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1-B69A-402E-AC0A-7BA3A310419D}"/>
            </c:ext>
          </c:extLst>
        </c:ser>
        <c:ser>
          <c:idx val="1"/>
          <c:order val="2"/>
          <c:tx>
            <c:strRef>
              <c:f>Derived_Metrics!$U$2</c:f>
              <c:strCache>
                <c:ptCount val="1"/>
                <c:pt idx="0">
                  <c:v>Productivity</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cap="rnd">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2-B69A-402E-AC0A-7BA3A310419D}"/>
            </c:ext>
          </c:extLst>
        </c:ser>
        <c:ser>
          <c:idx val="0"/>
          <c:order val="3"/>
          <c:tx>
            <c:strRef>
              <c:f>Derived_Metrics!$U$2</c:f>
              <c:strCache>
                <c:ptCount val="1"/>
                <c:pt idx="0">
                  <c:v>Productivity</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cap="rnd">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Derived_Metrics!$T$3:$T$8</c:f>
              <c:numCache>
                <c:formatCode>0%</c:formatCode>
                <c:ptCount val="5"/>
                <c:pt idx="0">
                  <c:v>0.14363636363636365</c:v>
                </c:pt>
                <c:pt idx="1">
                  <c:v>0.13545454545454547</c:v>
                </c:pt>
                <c:pt idx="2">
                  <c:v>0.14090909090909087</c:v>
                </c:pt>
                <c:pt idx="3">
                  <c:v>0.15454545454545454</c:v>
                </c:pt>
                <c:pt idx="4">
                  <c:v>0.14181818181818184</c:v>
                </c:pt>
              </c:numCache>
            </c:numRef>
          </c:xVal>
          <c:yVal>
            <c:numRef>
              <c:f>Derived_Metrics!$U$3:$U$8</c:f>
              <c:numCache>
                <c:formatCode>0%</c:formatCode>
                <c:ptCount val="5"/>
                <c:pt idx="0">
                  <c:v>0.94533859203455062</c:v>
                </c:pt>
                <c:pt idx="1">
                  <c:v>0.94492561851739409</c:v>
                </c:pt>
                <c:pt idx="2">
                  <c:v>0.94029655332759221</c:v>
                </c:pt>
                <c:pt idx="3">
                  <c:v>0.93197277882570473</c:v>
                </c:pt>
                <c:pt idx="4">
                  <c:v>0.94892641050710425</c:v>
                </c:pt>
              </c:numCache>
            </c:numRef>
          </c:yVal>
          <c:smooth val="0"/>
          <c:extLst>
            <c:ext xmlns:c16="http://schemas.microsoft.com/office/drawing/2014/chart" uri="{C3380CC4-5D6E-409C-BE32-E72D297353CC}">
              <c16:uniqueId val="{00000003-B69A-402E-AC0A-7BA3A310419D}"/>
            </c:ext>
          </c:extLst>
        </c:ser>
        <c:dLbls>
          <c:dLblPos val="t"/>
          <c:showLegendKey val="0"/>
          <c:showVal val="1"/>
          <c:showCatName val="0"/>
          <c:showSerName val="0"/>
          <c:showPercent val="0"/>
          <c:showBubbleSize val="0"/>
        </c:dLbls>
        <c:axId val="566439007"/>
        <c:axId val="566441407"/>
      </c:scatterChart>
      <c:valAx>
        <c:axId val="566439007"/>
        <c:scaling>
          <c:orientation val="minMax"/>
        </c:scaling>
        <c:delete val="0"/>
        <c:axPos val="b"/>
        <c:numFmt formatCode="0%" sourceLinked="1"/>
        <c:majorTickMark val="none"/>
        <c:minorTickMark val="none"/>
        <c:tickLblPos val="nextTo"/>
        <c:spPr>
          <a:noFill/>
          <a:ln>
            <a:noFill/>
          </a:ln>
          <a:effectLst/>
        </c:spPr>
        <c:txPr>
          <a:bodyPr rot="-6000000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crossAx val="566441407"/>
        <c:crosses val="autoZero"/>
        <c:crossBetween val="midCat"/>
      </c:valAx>
      <c:valAx>
        <c:axId val="566441407"/>
        <c:scaling>
          <c:orientation val="minMax"/>
        </c:scaling>
        <c:delete val="0"/>
        <c:axPos val="l"/>
        <c:title>
          <c:tx>
            <c:rich>
              <a:bodyPr rot="-5400000" vert="horz"/>
              <a:lstStyle/>
              <a:p>
                <a:pPr>
                  <a:defRPr/>
                </a:pPr>
                <a:r>
                  <a:rPr lang="en-IN" b="0" cap="none" spc="0">
                    <a:ln w="0"/>
                    <a:solidFill>
                      <a:schemeClr val="tx1"/>
                    </a:solidFill>
                    <a:effectLst>
                      <a:outerShdw blurRad="38100" dist="19050" dir="2700000" algn="tl" rotWithShape="0">
                        <a:schemeClr val="dk1">
                          <a:alpha val="40000"/>
                        </a:schemeClr>
                      </a:outerShdw>
                    </a:effectLst>
                    <a:latin typeface="Aptos Slab" panose="020F0502020204030204" pitchFamily="34" charset="0"/>
                  </a:rPr>
                  <a:t>Productivity</a:t>
                </a:r>
                <a:endParaRPr lang="en-IN" b="0">
                  <a:solidFill>
                    <a:srgbClr val="333F50"/>
                  </a:solidFill>
                  <a:latin typeface="Aptos Slab" panose="020F0502020204030204" pitchFamily="34" charset="0"/>
                </a:endParaRPr>
              </a:p>
              <a:p>
                <a:pPr>
                  <a:defRPr/>
                </a:pPr>
                <a:endParaRPr lang="en-IN"/>
              </a:p>
              <a:p>
                <a:pPr>
                  <a:defRPr/>
                </a:pPr>
                <a:endParaRPr lang="en-IN"/>
              </a:p>
            </c:rich>
          </c:tx>
          <c:layout>
            <c:manualLayout>
              <c:xMode val="edge"/>
              <c:yMode val="edge"/>
              <c:x val="1.6474126581174746E-3"/>
              <c:y val="0.30061679790026247"/>
            </c:manualLayout>
          </c:layout>
          <c:overlay val="0"/>
          <c:spPr>
            <a:noFill/>
            <a:ln>
              <a:noFill/>
            </a:ln>
            <a:effectLst/>
          </c:spPr>
        </c:title>
        <c:numFmt formatCode="0%" sourceLinked="1"/>
        <c:majorTickMark val="none"/>
        <c:minorTickMark val="none"/>
        <c:tickLblPos val="nextTo"/>
        <c:spPr>
          <a:noFill/>
          <a:ln>
            <a:noFill/>
          </a:ln>
          <a:effectLst/>
        </c:spPr>
        <c:txPr>
          <a:bodyPr rot="-60000000" vert="horz"/>
          <a:lstStyle/>
          <a:p>
            <a:pPr>
              <a:defRPr b="0" cap="none" spc="0">
                <a:ln w="0"/>
                <a:solidFill>
                  <a:schemeClr val="tx1"/>
                </a:solidFill>
                <a:effectLst>
                  <a:outerShdw blurRad="38100" dist="19050" dir="2700000" algn="tl" rotWithShape="0">
                    <a:schemeClr val="dk1">
                      <a:alpha val="40000"/>
                    </a:schemeClr>
                  </a:outerShdw>
                </a:effectLst>
              </a:defRPr>
            </a:pPr>
            <a:endParaRPr lang="en-US"/>
          </a:p>
        </c:txPr>
        <c:crossAx val="566439007"/>
        <c:crosses val="autoZero"/>
        <c:crossBetween val="midCat"/>
      </c:valAx>
      <c:spPr>
        <a:noFill/>
        <a:ln>
          <a:noFill/>
        </a:ln>
        <a:effectLst/>
      </c:spPr>
    </c:plotArea>
    <c:plotVisOnly val="1"/>
    <c:dispBlanksAs val="gap"/>
    <c:showDLblsOverMax val="0"/>
    <c:extLst/>
  </c:chart>
  <c:spPr>
    <a:ln>
      <a:noFill/>
    </a:ln>
  </c:spPr>
  <c:txPr>
    <a:bodyPr/>
    <a:lstStyle/>
    <a:p>
      <a:pPr marL="0" indent="0">
        <a:defRPr lang="en-US" sz="1400">
          <a:solidFill>
            <a:srgbClr val="333F50"/>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 PRODUCTIVITY &amp; COST LEAKAGE ANALYSIS.xlsx]cl by risk flag!PivotTable3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333F50"/>
                </a:solidFill>
              </a:rPr>
              <a:t>COST LEAKAGE BY RISK FLAG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fld id="{0EA343EC-C6E5-4D8A-8392-A71B027E0010}" type="VALUE">
                  <a:rPr lang="en-US">
                    <a:solidFill>
                      <a:srgbClr val="333F50"/>
                    </a:solidFill>
                  </a:rPr>
                  <a:pPr>
                    <a:defRPr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fld id="{DBEB6CAD-0217-4E87-8AE7-EFE92D62A078}" type="VALUE">
                  <a:rPr lang="en-US">
                    <a:solidFill>
                      <a:srgbClr val="333F50"/>
                    </a:solidFill>
                  </a:rPr>
                  <a:pPr>
                    <a:defRPr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fld id="{0EA343EC-C6E5-4D8A-8392-A71B027E0010}" type="VALUE">
                  <a:rPr lang="en-US">
                    <a:solidFill>
                      <a:srgbClr val="333F50"/>
                    </a:solidFill>
                  </a:rPr>
                  <a:pPr>
                    <a:defRPr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fld id="{DBEB6CAD-0217-4E87-8AE7-EFE92D62A078}" type="VALUE">
                  <a:rPr lang="en-US">
                    <a:solidFill>
                      <a:srgbClr val="333F50"/>
                    </a:solidFill>
                  </a:rPr>
                  <a:pPr>
                    <a:defRPr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fld id="{0EA343EC-C6E5-4D8A-8392-A71B027E0010}" type="VALUE">
                  <a:rPr lang="en-US">
                    <a:solidFill>
                      <a:srgbClr val="333F50"/>
                    </a:solidFill>
                  </a:rPr>
                  <a:pPr>
                    <a:defRPr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fld id="{DBEB6CAD-0217-4E87-8AE7-EFE92D62A078}" type="VALUE">
                  <a:rPr lang="en-US">
                    <a:solidFill>
                      <a:srgbClr val="333F50"/>
                    </a:solidFill>
                  </a:rPr>
                  <a:pPr>
                    <a:defRPr sz="900" b="0" i="0" u="none" strike="noStrike" kern="1200" baseline="0">
                      <a:solidFill>
                        <a:srgbClr val="333F5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3F5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0EA343EC-C6E5-4D8A-8392-A71B027E0010}" type="VALUE">
                  <a:rPr lang="en-US" b="0" cap="none" spc="0">
                    <a:ln w="0"/>
                    <a:solidFill>
                      <a:schemeClr val="tx1"/>
                    </a:solidFill>
                    <a:effectLst>
                      <a:outerShdw blurRad="38100" dist="19050" dir="2700000" algn="tl" rotWithShape="0">
                        <a:schemeClr val="dk1">
                          <a:alpha val="40000"/>
                        </a:schemeClr>
                      </a:outerShdw>
                    </a:effectLst>
                  </a:rPr>
                  <a:pPr>
                    <a:defRPr lang="en-US" cap="none" spc="0">
                      <a:ln w="0"/>
                      <a:solidFill>
                        <a:schemeClr val="tx1"/>
                      </a:solidFill>
                      <a:effectLst>
                        <a:outerShdw blurRad="38100" dist="19050" dir="2700000" algn="tl" rotWithShape="0">
                          <a:schemeClr val="dk1">
                            <a:alpha val="40000"/>
                          </a:schemeClr>
                        </a:outerShdw>
                      </a:effectLst>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DBEB6CAD-0217-4E87-8AE7-EFE92D62A078}" type="VALUE">
                  <a: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pPr>
                    <a:defRPr lang="en-US" cap="none" spc="0">
                      <a:ln w="0"/>
                      <a:solidFill>
                        <a:schemeClr val="tx1"/>
                      </a:solidFill>
                      <a:effectLst>
                        <a:outerShdw blurRad="38100" dist="19050" dir="2700000" algn="tl" rotWithShape="0">
                          <a:schemeClr val="dk1">
                            <a:alpha val="40000"/>
                          </a:schemeClr>
                        </a:outerShdw>
                      </a:effectLst>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089358967428842"/>
          <c:y val="0.2102098318791232"/>
          <c:w val="0.75728932052829778"/>
          <c:h val="0.61328452862311134"/>
        </c:manualLayout>
      </c:layout>
      <c:barChart>
        <c:barDir val="col"/>
        <c:grouping val="clustered"/>
        <c:varyColors val="0"/>
        <c:ser>
          <c:idx val="0"/>
          <c:order val="0"/>
          <c:tx>
            <c:strRef>
              <c:f>'cl by risk flag'!$B$3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6B1-46FC-A954-2D81D7BF2AF4}"/>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6B1-46FC-A954-2D81D7BF2AF4}"/>
              </c:ext>
            </c:extLst>
          </c:dPt>
          <c:dLbls>
            <c:dLbl>
              <c:idx val="0"/>
              <c:tx>
                <c:rich>
                  <a:bodyPr/>
                  <a:lstStyle/>
                  <a:p>
                    <a:fld id="{0EA343EC-C6E5-4D8A-8392-A71B027E0010}" type="VALUE">
                      <a:rPr lang="en-US" b="0" cap="none" spc="0">
                        <a:ln w="0"/>
                        <a:solidFill>
                          <a:schemeClr val="tx1"/>
                        </a:solidFill>
                        <a:effectLst>
                          <a:outerShdw blurRad="38100" dist="19050" dir="2700000" algn="tl" rotWithShape="0">
                            <a:schemeClr val="dk1">
                              <a:alpha val="40000"/>
                            </a:schemeClr>
                          </a:outerShdw>
                        </a:effectLst>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6B1-46FC-A954-2D81D7BF2AF4}"/>
                </c:ext>
              </c:extLst>
            </c:dLbl>
            <c:dLbl>
              <c:idx val="1"/>
              <c:tx>
                <c:rich>
                  <a:bodyPr/>
                  <a:lstStyle/>
                  <a:p>
                    <a:fld id="{DBEB6CAD-0217-4E87-8AE7-EFE92D62A078}" type="VALUE">
                      <a: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6B1-46FC-A954-2D81D7BF2AF4}"/>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'cl by risk flag'!$A$4:$A$6</c:f>
              <c:strCache>
                <c:ptCount val="2"/>
                <c:pt idx="0">
                  <c:v>HIGH</c:v>
                </c:pt>
                <c:pt idx="1">
                  <c:v>MEDIUM</c:v>
                </c:pt>
              </c:strCache>
            </c:strRef>
          </c:cat>
          <c:val>
            <c:numRef>
              <c:f>'cl by risk flag'!$B$4:$B$6</c:f>
              <c:numCache>
                <c:formatCode>"₹"\ #,##0</c:formatCode>
                <c:ptCount val="2"/>
                <c:pt idx="0">
                  <c:v>601163.34946504992</c:v>
                </c:pt>
                <c:pt idx="1">
                  <c:v>288293.31034099025</c:v>
                </c:pt>
              </c:numCache>
            </c:numRef>
          </c:val>
          <c:extLst>
            <c:ext xmlns:c16="http://schemas.microsoft.com/office/drawing/2014/chart" uri="{C3380CC4-5D6E-409C-BE32-E72D297353CC}">
              <c16:uniqueId val="{00000006-E6B1-46FC-A954-2D81D7BF2AF4}"/>
            </c:ext>
          </c:extLst>
        </c:ser>
        <c:dLbls>
          <c:dLblPos val="outEnd"/>
          <c:showLegendKey val="0"/>
          <c:showVal val="1"/>
          <c:showCatName val="0"/>
          <c:showSerName val="0"/>
          <c:showPercent val="0"/>
          <c:showBubbleSize val="0"/>
        </c:dLbls>
        <c:gapWidth val="190"/>
        <c:overlap val="6"/>
        <c:axId val="2130594623"/>
        <c:axId val="2130589343"/>
      </c:barChart>
      <c:catAx>
        <c:axId val="2130594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30589343"/>
        <c:crosses val="autoZero"/>
        <c:auto val="1"/>
        <c:lblAlgn val="ctr"/>
        <c:lblOffset val="100"/>
        <c:noMultiLvlLbl val="0"/>
      </c:catAx>
      <c:valAx>
        <c:axId val="2130589343"/>
        <c:scaling>
          <c:orientation val="minMax"/>
        </c:scaling>
        <c:delete val="1"/>
        <c:axPos val="l"/>
        <c:numFmt formatCode="&quot;₹&quot;\ #,##0" sourceLinked="1"/>
        <c:majorTickMark val="none"/>
        <c:minorTickMark val="none"/>
        <c:tickLblPos val="nextTo"/>
        <c:crossAx val="2130594623"/>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CE51806-8F49-4E02-89DE-58BA6B3C2618}">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image" Target="../media/image2.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2.xml"/><Relationship Id="rId10" Type="http://schemas.openxmlformats.org/officeDocument/2006/relationships/image" Target="../media/image5.png"/><Relationship Id="rId4" Type="http://schemas.openxmlformats.org/officeDocument/2006/relationships/chart" Target="../charts/chart11.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428625</xdr:colOff>
      <xdr:row>3</xdr:row>
      <xdr:rowOff>109537</xdr:rowOff>
    </xdr:from>
    <xdr:to>
      <xdr:col>11</xdr:col>
      <xdr:colOff>123825</xdr:colOff>
      <xdr:row>17</xdr:row>
      <xdr:rowOff>185737</xdr:rowOff>
    </xdr:to>
    <xdr:graphicFrame macro="">
      <xdr:nvGraphicFramePr>
        <xdr:cNvPr id="2" name="Chart 1">
          <a:extLst>
            <a:ext uri="{FF2B5EF4-FFF2-40B4-BE49-F238E27FC236}">
              <a16:creationId xmlns:a16="http://schemas.microsoft.com/office/drawing/2014/main" id="{90BA57CB-C941-AB2F-274F-9D04AB113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xdr:colOff>
      <xdr:row>3</xdr:row>
      <xdr:rowOff>100012</xdr:rowOff>
    </xdr:from>
    <xdr:to>
      <xdr:col>9</xdr:col>
      <xdr:colOff>447675</xdr:colOff>
      <xdr:row>17</xdr:row>
      <xdr:rowOff>176212</xdr:rowOff>
    </xdr:to>
    <xdr:graphicFrame macro="">
      <xdr:nvGraphicFramePr>
        <xdr:cNvPr id="2" name="Chart 1">
          <a:extLst>
            <a:ext uri="{FF2B5EF4-FFF2-40B4-BE49-F238E27FC236}">
              <a16:creationId xmlns:a16="http://schemas.microsoft.com/office/drawing/2014/main" id="{828F020A-B717-4D09-A2D9-BC1A69812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28575</xdr:colOff>
      <xdr:row>3</xdr:row>
      <xdr:rowOff>123825</xdr:rowOff>
    </xdr:from>
    <xdr:to>
      <xdr:col>13</xdr:col>
      <xdr:colOff>28575</xdr:colOff>
      <xdr:row>16</xdr:row>
      <xdr:rowOff>171450</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8CDDF66C-2CE6-4E18-2A81-334B7BE8805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7105650" y="695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161925</xdr:colOff>
      <xdr:row>3</xdr:row>
      <xdr:rowOff>100012</xdr:rowOff>
    </xdr:from>
    <xdr:to>
      <xdr:col>11</xdr:col>
      <xdr:colOff>361950</xdr:colOff>
      <xdr:row>17</xdr:row>
      <xdr:rowOff>176212</xdr:rowOff>
    </xdr:to>
    <xdr:graphicFrame macro="">
      <xdr:nvGraphicFramePr>
        <xdr:cNvPr id="2" name="Chart 1">
          <a:extLst>
            <a:ext uri="{FF2B5EF4-FFF2-40B4-BE49-F238E27FC236}">
              <a16:creationId xmlns:a16="http://schemas.microsoft.com/office/drawing/2014/main" id="{8F9BB991-058C-67AF-D884-C2106B5E6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571500</xdr:colOff>
      <xdr:row>3</xdr:row>
      <xdr:rowOff>142876</xdr:rowOff>
    </xdr:from>
    <xdr:to>
      <xdr:col>8</xdr:col>
      <xdr:colOff>571500</xdr:colOff>
      <xdr:row>14</xdr:row>
      <xdr:rowOff>85726</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4FAD1DD4-AD5C-CDCA-0A37-B9A731FDDEE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19500" y="714376"/>
              <a:ext cx="182880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5</xdr:row>
      <xdr:rowOff>85725</xdr:rowOff>
    </xdr:from>
    <xdr:to>
      <xdr:col>12</xdr:col>
      <xdr:colOff>304800</xdr:colOff>
      <xdr:row>14</xdr:row>
      <xdr:rowOff>57150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B47792FB-E3D6-DA05-B80E-FE82B7975E7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791200" y="1038225"/>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390524</xdr:colOff>
      <xdr:row>16</xdr:row>
      <xdr:rowOff>76200</xdr:rowOff>
    </xdr:from>
    <xdr:to>
      <xdr:col>17</xdr:col>
      <xdr:colOff>571499</xdr:colOff>
      <xdr:row>28</xdr:row>
      <xdr:rowOff>4762</xdr:rowOff>
    </xdr:to>
    <xdr:graphicFrame macro="">
      <xdr:nvGraphicFramePr>
        <xdr:cNvPr id="4" name="Chart 3">
          <a:extLst>
            <a:ext uri="{FF2B5EF4-FFF2-40B4-BE49-F238E27FC236}">
              <a16:creationId xmlns:a16="http://schemas.microsoft.com/office/drawing/2014/main" id="{95787FBD-4825-492C-9BCA-D5B0C141B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390524</xdr:colOff>
      <xdr:row>30</xdr:row>
      <xdr:rowOff>76200</xdr:rowOff>
    </xdr:from>
    <xdr:to>
      <xdr:col>8</xdr:col>
      <xdr:colOff>571499</xdr:colOff>
      <xdr:row>42</xdr:row>
      <xdr:rowOff>4762</xdr:rowOff>
    </xdr:to>
    <xdr:graphicFrame macro="">
      <xdr:nvGraphicFramePr>
        <xdr:cNvPr id="6" name="Chart 5">
          <a:extLst>
            <a:ext uri="{FF2B5EF4-FFF2-40B4-BE49-F238E27FC236}">
              <a16:creationId xmlns:a16="http://schemas.microsoft.com/office/drawing/2014/main" id="{DA80FA2F-7343-4B24-8CD3-96F6F99E1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219075</xdr:colOff>
      <xdr:row>5</xdr:row>
      <xdr:rowOff>85725</xdr:rowOff>
    </xdr:from>
    <xdr:to>
      <xdr:col>17</xdr:col>
      <xdr:colOff>523875</xdr:colOff>
      <xdr:row>19</xdr:row>
      <xdr:rowOff>161925</xdr:rowOff>
    </xdr:to>
    <xdr:graphicFrame macro="">
      <xdr:nvGraphicFramePr>
        <xdr:cNvPr id="3" name="Chart 2">
          <a:extLst>
            <a:ext uri="{FF2B5EF4-FFF2-40B4-BE49-F238E27FC236}">
              <a16:creationId xmlns:a16="http://schemas.microsoft.com/office/drawing/2014/main" id="{76C5ECAE-6C17-4780-A106-BD90FE856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8680739" cy="6299489"/>
    <xdr:graphicFrame macro="">
      <xdr:nvGraphicFramePr>
        <xdr:cNvPr id="2" name="Chart 1">
          <a:extLst>
            <a:ext uri="{FF2B5EF4-FFF2-40B4-BE49-F238E27FC236}">
              <a16:creationId xmlns:a16="http://schemas.microsoft.com/office/drawing/2014/main" id="{5AA7C88B-3578-2BCD-C4E6-1189608134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xdr:from>
      <xdr:col>0</xdr:col>
      <xdr:colOff>438150</xdr:colOff>
      <xdr:row>15</xdr:row>
      <xdr:rowOff>95250</xdr:rowOff>
    </xdr:from>
    <xdr:to>
      <xdr:col>20</xdr:col>
      <xdr:colOff>304799</xdr:colOff>
      <xdr:row>18</xdr:row>
      <xdr:rowOff>54864</xdr:rowOff>
    </xdr:to>
    <xdr:sp macro="" textlink="">
      <xdr:nvSpPr>
        <xdr:cNvPr id="4" name="Rectangle 3">
          <a:extLst>
            <a:ext uri="{FF2B5EF4-FFF2-40B4-BE49-F238E27FC236}">
              <a16:creationId xmlns:a16="http://schemas.microsoft.com/office/drawing/2014/main" id="{2821D908-74C0-47CD-2B80-DFFB0DC948A8}"/>
            </a:ext>
          </a:extLst>
        </xdr:cNvPr>
        <xdr:cNvSpPr/>
      </xdr:nvSpPr>
      <xdr:spPr>
        <a:xfrm>
          <a:off x="438150" y="2952750"/>
          <a:ext cx="12058649" cy="531114"/>
        </a:xfrm>
        <a:prstGeom prst="rect">
          <a:avLst/>
        </a:prstGeom>
        <a:gradFill flip="none" rotWithShape="1">
          <a:gsLst>
            <a:gs pos="53000">
              <a:schemeClr val="tx2">
                <a:lumMod val="60000"/>
                <a:lumOff val="40000"/>
              </a:schemeClr>
            </a:gs>
            <a:gs pos="19282">
              <a:srgbClr val="476D9D"/>
            </a:gs>
            <a:gs pos="90000">
              <a:schemeClr val="tx2">
                <a:lumMod val="60000"/>
                <a:lumOff val="40000"/>
              </a:schemeClr>
            </a:gs>
            <a:gs pos="0">
              <a:schemeClr val="tx2">
                <a:lumMod val="60000"/>
                <a:lumOff val="40000"/>
              </a:schemeClr>
            </a:gs>
            <a:gs pos="0">
              <a:srgbClr val="3B5270"/>
            </a:gs>
            <a:gs pos="46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0" cap="none" spc="0">
              <a:ln w="0"/>
              <a:solidFill>
                <a:schemeClr val="bg1"/>
              </a:solidFill>
              <a:effectLst>
                <a:outerShdw blurRad="38100" dist="19050" dir="2700000" algn="tl" rotWithShape="0">
                  <a:schemeClr val="dk1">
                    <a:alpha val="40000"/>
                  </a:schemeClr>
                </a:outerShdw>
              </a:effectLst>
              <a:latin typeface="+mn-lt"/>
              <a:ea typeface="+mn-ea"/>
              <a:cs typeface="+mn-cs"/>
            </a:rPr>
            <a:t>Employee Productivity &amp; Cost Leakage Analysis  </a:t>
          </a:r>
          <a:r>
            <a:rPr lang="en-IN" sz="2000" b="0" cap="none" spc="0" baseline="0">
              <a:ln w="0"/>
              <a:solidFill>
                <a:schemeClr val="bg1"/>
              </a:solidFill>
              <a:effectLst>
                <a:outerShdw blurRad="38100" dist="19050" dir="2700000" algn="tl" rotWithShape="0">
                  <a:schemeClr val="dk1">
                    <a:alpha val="40000"/>
                  </a:schemeClr>
                </a:outerShdw>
              </a:effectLst>
              <a:latin typeface="+mn-lt"/>
              <a:ea typeface="+mn-ea"/>
              <a:cs typeface="+mn-cs"/>
            </a:rPr>
            <a:t> </a:t>
          </a:r>
          <a:endParaRPr lang="en-IN" sz="4400" b="0" cap="none" spc="0">
            <a:ln w="0"/>
            <a:solidFill>
              <a:schemeClr val="bg1"/>
            </a:solidFill>
            <a:effectLst>
              <a:outerShdw blurRad="38100" dist="19050" dir="2700000" algn="tl" rotWithShape="0">
                <a:schemeClr val="dk1">
                  <a:alpha val="40000"/>
                </a:schemeClr>
              </a:outerShdw>
            </a:effectLst>
          </a:endParaRPr>
        </a:p>
        <a:p>
          <a:pPr marL="0" indent="0" algn="l"/>
          <a:endPar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1</xdr:colOff>
      <xdr:row>10</xdr:row>
      <xdr:rowOff>104775</xdr:rowOff>
    </xdr:from>
    <xdr:to>
      <xdr:col>0</xdr:col>
      <xdr:colOff>333378</xdr:colOff>
      <xdr:row>46</xdr:row>
      <xdr:rowOff>104775</xdr:rowOff>
    </xdr:to>
    <xdr:sp macro="" textlink="">
      <xdr:nvSpPr>
        <xdr:cNvPr id="7" name="Rectangle 6">
          <a:extLst>
            <a:ext uri="{FF2B5EF4-FFF2-40B4-BE49-F238E27FC236}">
              <a16:creationId xmlns:a16="http://schemas.microsoft.com/office/drawing/2014/main" id="{E40C53E5-F953-2DA1-919D-BD4A04C5848F}"/>
            </a:ext>
          </a:extLst>
        </xdr:cNvPr>
        <xdr:cNvSpPr/>
      </xdr:nvSpPr>
      <xdr:spPr>
        <a:xfrm rot="16200000">
          <a:off x="-3262310" y="5272086"/>
          <a:ext cx="6858000" cy="333377"/>
        </a:xfrm>
        <a:prstGeom prst="rect">
          <a:avLst/>
        </a:prstGeom>
        <a:solidFill>
          <a:schemeClr val="accent1">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466722</xdr:colOff>
      <xdr:row>18</xdr:row>
      <xdr:rowOff>104775</xdr:rowOff>
    </xdr:from>
    <xdr:to>
      <xdr:col>6</xdr:col>
      <xdr:colOff>552450</xdr:colOff>
      <xdr:row>22</xdr:row>
      <xdr:rowOff>37719</xdr:rowOff>
    </xdr:to>
    <xdr:sp macro="" textlink="">
      <xdr:nvSpPr>
        <xdr:cNvPr id="9" name="Rectangle: Rounded Corners 8">
          <a:extLst>
            <a:ext uri="{FF2B5EF4-FFF2-40B4-BE49-F238E27FC236}">
              <a16:creationId xmlns:a16="http://schemas.microsoft.com/office/drawing/2014/main" id="{BA4999AA-E4F2-4FE8-FE9A-99A31F6CFD3A}"/>
            </a:ext>
          </a:extLst>
        </xdr:cNvPr>
        <xdr:cNvSpPr/>
      </xdr:nvSpPr>
      <xdr:spPr>
        <a:xfrm>
          <a:off x="466722" y="3533775"/>
          <a:ext cx="3743328" cy="694944"/>
        </a:xfrm>
        <a:prstGeom prst="roundRect">
          <a:avLst/>
        </a:prstGeom>
        <a:gradFill flip="none" rotWithShape="1">
          <a:gsLst>
            <a:gs pos="0">
              <a:schemeClr val="tx2">
                <a:lumMod val="60000"/>
                <a:lumOff val="40000"/>
              </a:schemeClr>
            </a:gs>
            <a:gs pos="45000">
              <a:schemeClr val="tx2"/>
            </a:gs>
            <a:gs pos="94000">
              <a:srgbClr val="333F50"/>
            </a:gs>
          </a:gsLst>
          <a:path path="circle">
            <a:fillToRect l="100000" b="100000"/>
          </a:path>
          <a:tileRect t="-100000" r="-100000"/>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2400">
              <a:latin typeface="+mj-lt"/>
            </a:rPr>
            <a:t>     </a:t>
          </a:r>
          <a:r>
            <a:rPr lang="en-IN" sz="2400" baseline="0">
              <a:latin typeface="+mj-lt"/>
            </a:rPr>
            <a:t>   </a:t>
          </a:r>
          <a:r>
            <a:rPr lang="en-IN" sz="1600" baseline="0">
              <a:solidFill>
                <a:schemeClr val="bg1">
                  <a:lumMod val="85000"/>
                </a:schemeClr>
              </a:solidFill>
              <a:latin typeface="+mj-lt"/>
            </a:rPr>
            <a:t> </a:t>
          </a:r>
          <a:r>
            <a:rPr lang="en-IN" sz="2800" b="0" i="0" u="none" strike="noStrike">
              <a:solidFill>
                <a:schemeClr val="lt1"/>
              </a:solidFill>
              <a:effectLst/>
              <a:latin typeface="+mn-lt"/>
              <a:ea typeface="+mn-ea"/>
              <a:cs typeface="+mn-cs"/>
            </a:rPr>
            <a:t>  </a:t>
          </a:r>
        </a:p>
        <a:p>
          <a:pPr algn="l"/>
          <a:r>
            <a:rPr lang="en-IN" sz="2000" b="0" i="0" u="none" strike="noStrike">
              <a:solidFill>
                <a:schemeClr val="lt1"/>
              </a:solidFill>
              <a:effectLst/>
              <a:latin typeface="+mn-lt"/>
              <a:ea typeface="+mn-ea"/>
              <a:cs typeface="+mn-cs"/>
            </a:rPr>
            <a:t>                                                  </a:t>
          </a:r>
          <a:r>
            <a:rPr lang="en-IN" sz="2000">
              <a:effectLst/>
            </a:rPr>
            <a:t> </a:t>
          </a:r>
          <a:endParaRPr lang="en-IN" sz="1100"/>
        </a:p>
      </xdr:txBody>
    </xdr:sp>
    <xdr:clientData/>
  </xdr:twoCellAnchor>
  <xdr:twoCellAnchor editAs="oneCell">
    <xdr:from>
      <xdr:col>13</xdr:col>
      <xdr:colOff>590550</xdr:colOff>
      <xdr:row>15</xdr:row>
      <xdr:rowOff>152400</xdr:rowOff>
    </xdr:from>
    <xdr:to>
      <xdr:col>20</xdr:col>
      <xdr:colOff>266697</xdr:colOff>
      <xdr:row>18</xdr:row>
      <xdr:rowOff>0</xdr:rowOff>
    </xdr:to>
    <mc:AlternateContent xmlns:mc="http://schemas.openxmlformats.org/markup-compatibility/2006" xmlns:a14="http://schemas.microsoft.com/office/drawing/2010/main">
      <mc:Choice Requires="a14">
        <xdr:graphicFrame macro="">
          <xdr:nvGraphicFramePr>
            <xdr:cNvPr id="19" name="Month 6">
              <a:extLst>
                <a:ext uri="{FF2B5EF4-FFF2-40B4-BE49-F238E27FC236}">
                  <a16:creationId xmlns:a16="http://schemas.microsoft.com/office/drawing/2014/main" id="{F8E1687C-E5F4-418B-9128-981D0B89EAA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8515350" y="3009900"/>
              <a:ext cx="3943347"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209550</xdr:colOff>
      <xdr:row>15</xdr:row>
      <xdr:rowOff>161926</xdr:rowOff>
    </xdr:from>
    <xdr:to>
      <xdr:col>13</xdr:col>
      <xdr:colOff>571499</xdr:colOff>
      <xdr:row>17</xdr:row>
      <xdr:rowOff>180976</xdr:rowOff>
    </xdr:to>
    <mc:AlternateContent xmlns:mc="http://schemas.openxmlformats.org/markup-compatibility/2006" xmlns:a14="http://schemas.microsoft.com/office/drawing/2010/main">
      <mc:Choice Requires="a14">
        <xdr:graphicFrame macro="">
          <xdr:nvGraphicFramePr>
            <xdr:cNvPr id="21" name="DEPARTMENT 6">
              <a:extLst>
                <a:ext uri="{FF2B5EF4-FFF2-40B4-BE49-F238E27FC236}">
                  <a16:creationId xmlns:a16="http://schemas.microsoft.com/office/drawing/2014/main" id="{3352906D-CF01-46A4-8FDC-4BB2CB0D0CFD}"/>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5695950" y="3019426"/>
              <a:ext cx="2800349" cy="40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22</xdr:row>
      <xdr:rowOff>142875</xdr:rowOff>
    </xdr:from>
    <xdr:to>
      <xdr:col>6</xdr:col>
      <xdr:colOff>581024</xdr:colOff>
      <xdr:row>31</xdr:row>
      <xdr:rowOff>133350</xdr:rowOff>
    </xdr:to>
    <xdr:sp macro="" textlink="">
      <xdr:nvSpPr>
        <xdr:cNvPr id="3" name="Rectangle: Rounded Corners 2">
          <a:extLst>
            <a:ext uri="{FF2B5EF4-FFF2-40B4-BE49-F238E27FC236}">
              <a16:creationId xmlns:a16="http://schemas.microsoft.com/office/drawing/2014/main" id="{E022484A-53A6-E51B-2D86-9629BFB44D1D}"/>
            </a:ext>
          </a:extLst>
        </xdr:cNvPr>
        <xdr:cNvSpPr/>
      </xdr:nvSpPr>
      <xdr:spPr>
        <a:xfrm>
          <a:off x="381000" y="4333875"/>
          <a:ext cx="3857624" cy="1704975"/>
        </a:xfrm>
        <a:prstGeom prst="roundRect">
          <a:avLst>
            <a:gd name="adj" fmla="val 7728"/>
          </a:avLst>
        </a:prstGeom>
        <a:noFill/>
        <a:ln w="22225">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47625</xdr:colOff>
      <xdr:row>22</xdr:row>
      <xdr:rowOff>152400</xdr:rowOff>
    </xdr:from>
    <xdr:to>
      <xdr:col>13</xdr:col>
      <xdr:colOff>171450</xdr:colOff>
      <xdr:row>31</xdr:row>
      <xdr:rowOff>142875</xdr:rowOff>
    </xdr:to>
    <xdr:sp macro="" textlink="">
      <xdr:nvSpPr>
        <xdr:cNvPr id="15" name="Rectangle: Rounded Corners 14">
          <a:extLst>
            <a:ext uri="{FF2B5EF4-FFF2-40B4-BE49-F238E27FC236}">
              <a16:creationId xmlns:a16="http://schemas.microsoft.com/office/drawing/2014/main" id="{2E9E8689-7499-4AD9-82A1-E983D14C26E7}"/>
            </a:ext>
          </a:extLst>
        </xdr:cNvPr>
        <xdr:cNvSpPr/>
      </xdr:nvSpPr>
      <xdr:spPr>
        <a:xfrm>
          <a:off x="4314825" y="4343400"/>
          <a:ext cx="3781425" cy="1704975"/>
        </a:xfrm>
        <a:prstGeom prst="roundRect">
          <a:avLst>
            <a:gd name="adj" fmla="val 5494"/>
          </a:avLst>
        </a:prstGeom>
        <a:noFill/>
        <a:ln w="222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247650</xdr:colOff>
      <xdr:row>22</xdr:row>
      <xdr:rowOff>142875</xdr:rowOff>
    </xdr:from>
    <xdr:to>
      <xdr:col>20</xdr:col>
      <xdr:colOff>238125</xdr:colOff>
      <xdr:row>31</xdr:row>
      <xdr:rowOff>171450</xdr:rowOff>
    </xdr:to>
    <xdr:sp macro="" textlink="">
      <xdr:nvSpPr>
        <xdr:cNvPr id="17" name="Rectangle: Rounded Corners 16">
          <a:extLst>
            <a:ext uri="{FF2B5EF4-FFF2-40B4-BE49-F238E27FC236}">
              <a16:creationId xmlns:a16="http://schemas.microsoft.com/office/drawing/2014/main" id="{FC4BC8FB-32BD-42BE-9457-4E4FA41CA84A}"/>
            </a:ext>
          </a:extLst>
        </xdr:cNvPr>
        <xdr:cNvSpPr/>
      </xdr:nvSpPr>
      <xdr:spPr>
        <a:xfrm>
          <a:off x="8172450" y="4333875"/>
          <a:ext cx="4257675" cy="1743075"/>
        </a:xfrm>
        <a:prstGeom prst="roundRect">
          <a:avLst>
            <a:gd name="adj" fmla="val 4996"/>
          </a:avLst>
        </a:prstGeom>
        <a:noFill/>
        <a:ln w="222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380999</xdr:colOff>
      <xdr:row>32</xdr:row>
      <xdr:rowOff>47624</xdr:rowOff>
    </xdr:from>
    <xdr:to>
      <xdr:col>9</xdr:col>
      <xdr:colOff>466724</xdr:colOff>
      <xdr:row>42</xdr:row>
      <xdr:rowOff>152399</xdr:rowOff>
    </xdr:to>
    <xdr:sp macro="" textlink="">
      <xdr:nvSpPr>
        <xdr:cNvPr id="18" name="Rectangle: Rounded Corners 17">
          <a:extLst>
            <a:ext uri="{FF2B5EF4-FFF2-40B4-BE49-F238E27FC236}">
              <a16:creationId xmlns:a16="http://schemas.microsoft.com/office/drawing/2014/main" id="{58A6C10B-8579-49E2-8CC1-28FA0937B78F}"/>
            </a:ext>
          </a:extLst>
        </xdr:cNvPr>
        <xdr:cNvSpPr/>
      </xdr:nvSpPr>
      <xdr:spPr>
        <a:xfrm>
          <a:off x="380999" y="6143624"/>
          <a:ext cx="5572125" cy="2009775"/>
        </a:xfrm>
        <a:prstGeom prst="roundRect">
          <a:avLst>
            <a:gd name="adj" fmla="val 7277"/>
          </a:avLst>
        </a:prstGeom>
        <a:noFill/>
        <a:ln w="222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581026</xdr:colOff>
      <xdr:row>32</xdr:row>
      <xdr:rowOff>38100</xdr:rowOff>
    </xdr:from>
    <xdr:to>
      <xdr:col>20</xdr:col>
      <xdr:colOff>247650</xdr:colOff>
      <xdr:row>42</xdr:row>
      <xdr:rowOff>180975</xdr:rowOff>
    </xdr:to>
    <xdr:sp macro="" textlink="">
      <xdr:nvSpPr>
        <xdr:cNvPr id="20" name="Rectangle: Rounded Corners 19">
          <a:extLst>
            <a:ext uri="{FF2B5EF4-FFF2-40B4-BE49-F238E27FC236}">
              <a16:creationId xmlns:a16="http://schemas.microsoft.com/office/drawing/2014/main" id="{68CADA51-3FE1-408D-B80E-8541A4A3FEE2}"/>
            </a:ext>
          </a:extLst>
        </xdr:cNvPr>
        <xdr:cNvSpPr/>
      </xdr:nvSpPr>
      <xdr:spPr>
        <a:xfrm>
          <a:off x="6067426" y="6134100"/>
          <a:ext cx="6372224" cy="2047875"/>
        </a:xfrm>
        <a:prstGeom prst="roundRect">
          <a:avLst>
            <a:gd name="adj" fmla="val 5039"/>
          </a:avLst>
        </a:prstGeom>
        <a:noFill/>
        <a:ln w="222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409574</xdr:colOff>
      <xdr:row>22</xdr:row>
      <xdr:rowOff>95250</xdr:rowOff>
    </xdr:from>
    <xdr:to>
      <xdr:col>6</xdr:col>
      <xdr:colOff>571499</xdr:colOff>
      <xdr:row>31</xdr:row>
      <xdr:rowOff>114300</xdr:rowOff>
    </xdr:to>
    <xdr:graphicFrame macro="">
      <xdr:nvGraphicFramePr>
        <xdr:cNvPr id="27" name="Chart 26">
          <a:extLst>
            <a:ext uri="{FF2B5EF4-FFF2-40B4-BE49-F238E27FC236}">
              <a16:creationId xmlns:a16="http://schemas.microsoft.com/office/drawing/2014/main" id="{D7326157-6BC4-4C58-8A7B-CA53ABB96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xdr:colOff>
      <xdr:row>23</xdr:row>
      <xdr:rowOff>0</xdr:rowOff>
    </xdr:from>
    <xdr:to>
      <xdr:col>13</xdr:col>
      <xdr:colOff>123825</xdr:colOff>
      <xdr:row>31</xdr:row>
      <xdr:rowOff>152400</xdr:rowOff>
    </xdr:to>
    <xdr:graphicFrame macro="">
      <xdr:nvGraphicFramePr>
        <xdr:cNvPr id="28" name="Chart 27">
          <a:extLst>
            <a:ext uri="{FF2B5EF4-FFF2-40B4-BE49-F238E27FC236}">
              <a16:creationId xmlns:a16="http://schemas.microsoft.com/office/drawing/2014/main" id="{674A686A-69B5-4CDB-814B-BB4633776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419100</xdr:colOff>
      <xdr:row>32</xdr:row>
      <xdr:rowOff>123825</xdr:rowOff>
    </xdr:from>
    <xdr:to>
      <xdr:col>9</xdr:col>
      <xdr:colOff>371474</xdr:colOff>
      <xdr:row>42</xdr:row>
      <xdr:rowOff>47732</xdr:rowOff>
    </xdr:to>
    <xdr:graphicFrame macro="">
      <xdr:nvGraphicFramePr>
        <xdr:cNvPr id="2" name="Chart 1">
          <a:extLst>
            <a:ext uri="{FF2B5EF4-FFF2-40B4-BE49-F238E27FC236}">
              <a16:creationId xmlns:a16="http://schemas.microsoft.com/office/drawing/2014/main" id="{0D4D547E-4AF8-4EC7-A551-0425078AD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28576</xdr:colOff>
      <xdr:row>32</xdr:row>
      <xdr:rowOff>57150</xdr:rowOff>
    </xdr:from>
    <xdr:to>
      <xdr:col>20</xdr:col>
      <xdr:colOff>171450</xdr:colOff>
      <xdr:row>42</xdr:row>
      <xdr:rowOff>133350</xdr:rowOff>
    </xdr:to>
    <xdr:graphicFrame macro="">
      <xdr:nvGraphicFramePr>
        <xdr:cNvPr id="6" name="Chart 5">
          <a:extLst>
            <a:ext uri="{FF2B5EF4-FFF2-40B4-BE49-F238E27FC236}">
              <a16:creationId xmlns:a16="http://schemas.microsoft.com/office/drawing/2014/main" id="{CBC8B327-DE04-42A9-8960-E24ECB539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419100</xdr:colOff>
      <xdr:row>41</xdr:row>
      <xdr:rowOff>47624</xdr:rowOff>
    </xdr:from>
    <xdr:to>
      <xdr:col>16</xdr:col>
      <xdr:colOff>228600</xdr:colOff>
      <xdr:row>42</xdr:row>
      <xdr:rowOff>95249</xdr:rowOff>
    </xdr:to>
    <xdr:sp macro="" textlink="">
      <xdr:nvSpPr>
        <xdr:cNvPr id="8" name="TextBox 7">
          <a:extLst>
            <a:ext uri="{FF2B5EF4-FFF2-40B4-BE49-F238E27FC236}">
              <a16:creationId xmlns:a16="http://schemas.microsoft.com/office/drawing/2014/main" id="{397B010A-3AAE-722C-8369-7E1D58199053}"/>
            </a:ext>
          </a:extLst>
        </xdr:cNvPr>
        <xdr:cNvSpPr txBox="1"/>
      </xdr:nvSpPr>
      <xdr:spPr>
        <a:xfrm>
          <a:off x="8343900" y="7858124"/>
          <a:ext cx="16383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kern="1200" cap="none" spc="0" baseline="0">
              <a:ln w="0"/>
              <a:solidFill>
                <a:schemeClr val="tx1"/>
              </a:solidFill>
              <a:effectLst>
                <a:outerShdw blurRad="38100" dist="19050" dir="2700000" algn="tl" rotWithShape="0">
                  <a:schemeClr val="dk1">
                    <a:alpha val="40000"/>
                  </a:schemeClr>
                </a:outerShdw>
              </a:effectLst>
              <a:latin typeface="Aptos Slab" panose="020F0502020204030204" pitchFamily="34" charset="0"/>
              <a:ea typeface="+mn-ea"/>
              <a:cs typeface="+mn-cs"/>
            </a:rPr>
            <a:t>Absentism</a:t>
          </a:r>
        </a:p>
      </xdr:txBody>
    </xdr:sp>
    <xdr:clientData/>
  </xdr:twoCellAnchor>
  <xdr:twoCellAnchor>
    <xdr:from>
      <xdr:col>13</xdr:col>
      <xdr:colOff>180976</xdr:colOff>
      <xdr:row>22</xdr:row>
      <xdr:rowOff>133350</xdr:rowOff>
    </xdr:from>
    <xdr:to>
      <xdr:col>20</xdr:col>
      <xdr:colOff>142876</xdr:colOff>
      <xdr:row>31</xdr:row>
      <xdr:rowOff>180975</xdr:rowOff>
    </xdr:to>
    <xdr:graphicFrame macro="">
      <xdr:nvGraphicFramePr>
        <xdr:cNvPr id="5" name="Chart 4">
          <a:extLst>
            <a:ext uri="{FF2B5EF4-FFF2-40B4-BE49-F238E27FC236}">
              <a16:creationId xmlns:a16="http://schemas.microsoft.com/office/drawing/2014/main" id="{8F8494EA-0840-4D96-AD3B-588F52EEE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52388</xdr:colOff>
      <xdr:row>18</xdr:row>
      <xdr:rowOff>104775</xdr:rowOff>
    </xdr:from>
    <xdr:to>
      <xdr:col>13</xdr:col>
      <xdr:colOff>166688</xdr:colOff>
      <xdr:row>22</xdr:row>
      <xdr:rowOff>37719</xdr:rowOff>
    </xdr:to>
    <xdr:sp macro="" textlink="">
      <xdr:nvSpPr>
        <xdr:cNvPr id="25" name="Rectangle: Rounded Corners 24">
          <a:extLst>
            <a:ext uri="{FF2B5EF4-FFF2-40B4-BE49-F238E27FC236}">
              <a16:creationId xmlns:a16="http://schemas.microsoft.com/office/drawing/2014/main" id="{09B0E1B8-1579-4EF0-ABEB-111A64A641A7}"/>
            </a:ext>
          </a:extLst>
        </xdr:cNvPr>
        <xdr:cNvSpPr/>
      </xdr:nvSpPr>
      <xdr:spPr>
        <a:xfrm>
          <a:off x="4319588" y="3533775"/>
          <a:ext cx="3771900" cy="694944"/>
        </a:xfrm>
        <a:prstGeom prst="roundRect">
          <a:avLst/>
        </a:prstGeom>
        <a:gradFill flip="none" rotWithShape="1">
          <a:gsLst>
            <a:gs pos="0">
              <a:schemeClr val="tx2">
                <a:lumMod val="60000"/>
                <a:lumOff val="40000"/>
              </a:schemeClr>
            </a:gs>
            <a:gs pos="45000">
              <a:schemeClr val="tx2"/>
            </a:gs>
            <a:gs pos="94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13</xdr:col>
      <xdr:colOff>276226</xdr:colOff>
      <xdr:row>18</xdr:row>
      <xdr:rowOff>95250</xdr:rowOff>
    </xdr:from>
    <xdr:to>
      <xdr:col>20</xdr:col>
      <xdr:colOff>257176</xdr:colOff>
      <xdr:row>22</xdr:row>
      <xdr:rowOff>28194</xdr:rowOff>
    </xdr:to>
    <xdr:sp macro="" textlink="">
      <xdr:nvSpPr>
        <xdr:cNvPr id="30" name="Rectangle: Rounded Corners 29">
          <a:extLst>
            <a:ext uri="{FF2B5EF4-FFF2-40B4-BE49-F238E27FC236}">
              <a16:creationId xmlns:a16="http://schemas.microsoft.com/office/drawing/2014/main" id="{B8CB13A7-CAC8-45B9-AA3F-17946337377C}"/>
            </a:ext>
          </a:extLst>
        </xdr:cNvPr>
        <xdr:cNvSpPr/>
      </xdr:nvSpPr>
      <xdr:spPr>
        <a:xfrm>
          <a:off x="8201026" y="3524250"/>
          <a:ext cx="4248150" cy="694944"/>
        </a:xfrm>
        <a:prstGeom prst="roundRect">
          <a:avLst/>
        </a:prstGeom>
        <a:gradFill flip="none" rotWithShape="1">
          <a:gsLst>
            <a:gs pos="0">
              <a:schemeClr val="tx2">
                <a:lumMod val="60000"/>
                <a:lumOff val="40000"/>
              </a:schemeClr>
            </a:gs>
            <a:gs pos="45000">
              <a:schemeClr val="tx2"/>
            </a:gs>
            <a:gs pos="94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100"/>
            <a:t>                            </a:t>
          </a:r>
          <a:endParaRPr lang="en-IN" sz="1100" baseline="0"/>
        </a:p>
        <a:p>
          <a:pPr algn="l"/>
          <a:r>
            <a:rPr lang="en-IN" sz="1100" baseline="0"/>
            <a:t>                                             </a:t>
          </a:r>
          <a:endParaRPr lang="en-IN" sz="1100"/>
        </a:p>
      </xdr:txBody>
    </xdr:sp>
    <xdr:clientData/>
  </xdr:twoCellAnchor>
  <xdr:twoCellAnchor editAs="oneCell">
    <xdr:from>
      <xdr:col>8</xdr:col>
      <xdr:colOff>1</xdr:colOff>
      <xdr:row>18</xdr:row>
      <xdr:rowOff>76200</xdr:rowOff>
    </xdr:from>
    <xdr:to>
      <xdr:col>9</xdr:col>
      <xdr:colOff>114301</xdr:colOff>
      <xdr:row>22</xdr:row>
      <xdr:rowOff>38100</xdr:rowOff>
    </xdr:to>
    <xdr:pic>
      <xdr:nvPicPr>
        <xdr:cNvPr id="33" name="Graphic 32" descr="Bar graph with upward trend with solid fill">
          <a:extLst>
            <a:ext uri="{FF2B5EF4-FFF2-40B4-BE49-F238E27FC236}">
              <a16:creationId xmlns:a16="http://schemas.microsoft.com/office/drawing/2014/main" id="{25C50504-3445-58FC-171D-7FC730F1316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76801" y="3505200"/>
          <a:ext cx="723900" cy="723900"/>
        </a:xfrm>
        <a:prstGeom prst="rect">
          <a:avLst/>
        </a:prstGeom>
      </xdr:spPr>
    </xdr:pic>
    <xdr:clientData/>
  </xdr:twoCellAnchor>
  <xdr:twoCellAnchor editAs="oneCell">
    <xdr:from>
      <xdr:col>1</xdr:col>
      <xdr:colOff>361950</xdr:colOff>
      <xdr:row>18</xdr:row>
      <xdr:rowOff>104775</xdr:rowOff>
    </xdr:from>
    <xdr:to>
      <xdr:col>2</xdr:col>
      <xdr:colOff>352425</xdr:colOff>
      <xdr:row>21</xdr:row>
      <xdr:rowOff>133350</xdr:rowOff>
    </xdr:to>
    <xdr:pic>
      <xdr:nvPicPr>
        <xdr:cNvPr id="35" name="Graphic 34" descr="Rupee with solid fill">
          <a:extLst>
            <a:ext uri="{FF2B5EF4-FFF2-40B4-BE49-F238E27FC236}">
              <a16:creationId xmlns:a16="http://schemas.microsoft.com/office/drawing/2014/main" id="{9F8DCFD5-19B8-EE96-4421-31329D8045D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71550" y="3533775"/>
          <a:ext cx="600075" cy="600075"/>
        </a:xfrm>
        <a:prstGeom prst="rect">
          <a:avLst/>
        </a:prstGeom>
      </xdr:spPr>
    </xdr:pic>
    <xdr:clientData/>
  </xdr:twoCellAnchor>
  <xdr:oneCellAnchor>
    <xdr:from>
      <xdr:col>2</xdr:col>
      <xdr:colOff>400051</xdr:colOff>
      <xdr:row>18</xdr:row>
      <xdr:rowOff>19050</xdr:rowOff>
    </xdr:from>
    <xdr:ext cx="2320620" cy="732085"/>
    <xdr:sp macro="" textlink="">
      <xdr:nvSpPr>
        <xdr:cNvPr id="36" name="TextBox 35">
          <a:extLst>
            <a:ext uri="{FF2B5EF4-FFF2-40B4-BE49-F238E27FC236}">
              <a16:creationId xmlns:a16="http://schemas.microsoft.com/office/drawing/2014/main" id="{8973370C-1C09-136D-4D6B-757A79BDC6C9}"/>
            </a:ext>
          </a:extLst>
        </xdr:cNvPr>
        <xdr:cNvSpPr txBox="1"/>
      </xdr:nvSpPr>
      <xdr:spPr>
        <a:xfrm>
          <a:off x="1619251" y="3448050"/>
          <a:ext cx="2320620" cy="73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0" i="0" u="none" strike="noStrike">
              <a:solidFill>
                <a:schemeClr val="lt1"/>
              </a:solidFill>
              <a:effectLst/>
              <a:latin typeface="+mn-lt"/>
              <a:ea typeface="+mn-ea"/>
              <a:cs typeface="+mn-cs"/>
            </a:rPr>
            <a:t>8,89457</a:t>
          </a:r>
          <a:r>
            <a:rPr lang="en-IN" sz="1200"/>
            <a:t> </a:t>
          </a:r>
        </a:p>
        <a:p>
          <a:pPr algn="l"/>
          <a:r>
            <a:rPr lang="en-IN" sz="1600">
              <a:solidFill>
                <a:schemeClr val="bg1">
                  <a:lumMod val="85000"/>
                </a:schemeClr>
              </a:solidFill>
            </a:rPr>
            <a:t>TOTAL</a:t>
          </a:r>
          <a:r>
            <a:rPr lang="en-IN" sz="1600" baseline="0">
              <a:solidFill>
                <a:schemeClr val="bg1">
                  <a:lumMod val="85000"/>
                </a:schemeClr>
              </a:solidFill>
            </a:rPr>
            <a:t> LEAKAGE</a:t>
          </a:r>
          <a:endParaRPr lang="en-IN" sz="1600">
            <a:solidFill>
              <a:schemeClr val="bg1">
                <a:lumMod val="85000"/>
              </a:schemeClr>
            </a:solidFill>
          </a:endParaRPr>
        </a:p>
      </xdr:txBody>
    </xdr:sp>
    <xdr:clientData/>
  </xdr:oneCellAnchor>
  <xdr:oneCellAnchor>
    <xdr:from>
      <xdr:col>8</xdr:col>
      <xdr:colOff>466726</xdr:colOff>
      <xdr:row>18</xdr:row>
      <xdr:rowOff>47625</xdr:rowOff>
    </xdr:from>
    <xdr:ext cx="2431944" cy="928793"/>
    <xdr:sp macro="" textlink="">
      <xdr:nvSpPr>
        <xdr:cNvPr id="37" name="TextBox 36">
          <a:extLst>
            <a:ext uri="{FF2B5EF4-FFF2-40B4-BE49-F238E27FC236}">
              <a16:creationId xmlns:a16="http://schemas.microsoft.com/office/drawing/2014/main" id="{641EBCDD-467B-62A9-D584-51B3FF570B52}"/>
            </a:ext>
          </a:extLst>
        </xdr:cNvPr>
        <xdr:cNvSpPr txBox="1"/>
      </xdr:nvSpPr>
      <xdr:spPr>
        <a:xfrm>
          <a:off x="5343526" y="3476625"/>
          <a:ext cx="2431944" cy="928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bg1">
                  <a:lumMod val="85000"/>
                </a:schemeClr>
              </a:solidFill>
              <a:effectLst/>
              <a:latin typeface="+mn-lt"/>
              <a:ea typeface="+mn-ea"/>
              <a:cs typeface="+mn-cs"/>
            </a:rPr>
            <a:t>94%</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bg1">
                  <a:lumMod val="85000"/>
                </a:schemeClr>
              </a:solidFill>
              <a:effectLst/>
              <a:latin typeface="+mn-lt"/>
              <a:ea typeface="+mn-ea"/>
              <a:cs typeface="+mn-cs"/>
            </a:rPr>
            <a:t>AVG PRODUCTIVITY </a:t>
          </a:r>
          <a:endParaRPr lang="en-IN" sz="1600">
            <a:solidFill>
              <a:schemeClr val="bg1">
                <a:lumMod val="85000"/>
              </a:schemeClr>
            </a:solidFill>
            <a:effectLst/>
          </a:endParaRPr>
        </a:p>
        <a:p>
          <a:endParaRPr lang="en-IN" sz="1100"/>
        </a:p>
      </xdr:txBody>
    </xdr:sp>
    <xdr:clientData/>
  </xdr:oneCellAnchor>
  <xdr:twoCellAnchor editAs="oneCell">
    <xdr:from>
      <xdr:col>14</xdr:col>
      <xdr:colOff>447675</xdr:colOff>
      <xdr:row>18</xdr:row>
      <xdr:rowOff>28576</xdr:rowOff>
    </xdr:from>
    <xdr:to>
      <xdr:col>15</xdr:col>
      <xdr:colOff>552451</xdr:colOff>
      <xdr:row>21</xdr:row>
      <xdr:rowOff>171452</xdr:rowOff>
    </xdr:to>
    <xdr:pic>
      <xdr:nvPicPr>
        <xdr:cNvPr id="39" name="Graphic 38" descr="Office worker male with solid fill">
          <a:extLst>
            <a:ext uri="{FF2B5EF4-FFF2-40B4-BE49-F238E27FC236}">
              <a16:creationId xmlns:a16="http://schemas.microsoft.com/office/drawing/2014/main" id="{3D6ED482-7BCF-2D52-EEAF-993CFFD014B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982075" y="3457576"/>
          <a:ext cx="714376" cy="714376"/>
        </a:xfrm>
        <a:prstGeom prst="rect">
          <a:avLst/>
        </a:prstGeom>
      </xdr:spPr>
    </xdr:pic>
    <xdr:clientData/>
  </xdr:twoCellAnchor>
  <xdr:oneCellAnchor>
    <xdr:from>
      <xdr:col>15</xdr:col>
      <xdr:colOff>457199</xdr:colOff>
      <xdr:row>17</xdr:row>
      <xdr:rowOff>171450</xdr:rowOff>
    </xdr:from>
    <xdr:ext cx="2047875" cy="1000125"/>
    <xdr:sp macro="" textlink="">
      <xdr:nvSpPr>
        <xdr:cNvPr id="40" name="TextBox 39">
          <a:extLst>
            <a:ext uri="{FF2B5EF4-FFF2-40B4-BE49-F238E27FC236}">
              <a16:creationId xmlns:a16="http://schemas.microsoft.com/office/drawing/2014/main" id="{B21BC876-FE66-FAB5-5FF5-08AD75E03D56}"/>
            </a:ext>
          </a:extLst>
        </xdr:cNvPr>
        <xdr:cNvSpPr txBox="1"/>
      </xdr:nvSpPr>
      <xdr:spPr>
        <a:xfrm>
          <a:off x="9601199" y="3409950"/>
          <a:ext cx="2047875" cy="1000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200">
              <a:solidFill>
                <a:schemeClr val="bg1">
                  <a:lumMod val="85000"/>
                </a:schemeClr>
              </a:solidFill>
            </a:rPr>
            <a:t>50</a:t>
          </a:r>
        </a:p>
        <a:p>
          <a:pPr algn="ctr"/>
          <a:r>
            <a:rPr lang="en-IN" sz="1600">
              <a:solidFill>
                <a:schemeClr val="bg1">
                  <a:lumMod val="85000"/>
                </a:schemeClr>
              </a:solidFill>
            </a:rPr>
            <a:t>TOTAL</a:t>
          </a:r>
          <a:r>
            <a:rPr lang="en-IN" sz="1600" baseline="0">
              <a:solidFill>
                <a:schemeClr val="bg1">
                  <a:lumMod val="85000"/>
                </a:schemeClr>
              </a:solidFill>
            </a:rPr>
            <a:t> EMPLOYEES</a:t>
          </a:r>
        </a:p>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4.934749305554" createdVersion="8" refreshedVersion="8" minRefreshableVersion="3" recordCount="300" xr:uid="{8A32716D-F1BF-4CE5-9A6D-60C61ABA1F37}">
  <cacheSource type="worksheet">
    <worksheetSource ref="A1:J301" sheet="Derived_Metrics"/>
  </cacheSource>
  <cacheFields count="10">
    <cacheField name="Emp_ID" numFmtId="0">
      <sharedItems/>
    </cacheField>
    <cacheField name="Month" numFmtId="0">
      <sharedItems count="6">
        <s v="Feb-24"/>
        <s v="Jan-24"/>
        <s v="Jun-24"/>
        <s v="Apr-24"/>
        <s v="May-24"/>
        <s v="Mar-24"/>
      </sharedItems>
    </cacheField>
    <cacheField name="Attendance" numFmtId="9">
      <sharedItems containsSemiMixedTypes="0" containsString="0" containsNumber="1" minValue="0.72727272727272729" maxValue="1"/>
    </cacheField>
    <cacheField name="Productivity" numFmtId="9">
      <sharedItems containsSemiMixedTypes="0" containsString="0" containsNumber="1" minValue="0.80645161290322576" maxValue="1"/>
    </cacheField>
    <cacheField name="Rework" numFmtId="9">
      <sharedItems containsSemiMixedTypes="0" containsString="0" containsNumber="1" minValue="0" maxValue="0.2"/>
    </cacheField>
    <cacheField name="Absentism" numFmtId="9">
      <sharedItems containsSemiMixedTypes="0" containsString="0" containsNumber="1" minValue="0" maxValue="0.27272727272727271"/>
    </cacheField>
    <cacheField name="monthly salary" numFmtId="0">
      <sharedItems containsSemiMixedTypes="0" containsString="0" containsNumber="1" containsInteger="1" minValue="35728" maxValue="89427"/>
    </cacheField>
    <cacheField name="Cost_Leakage" numFmtId="167">
      <sharedItems containsSemiMixedTypes="0" containsString="0" containsNumber="1" minValue="0" maxValue="72851.741935483908"/>
    </cacheField>
    <cacheField name="Risk_Flag" numFmtId="0">
      <sharedItems count="3">
        <s v="HIGH"/>
        <s v="LOW"/>
        <s v="MEDIUM"/>
      </sharedItems>
    </cacheField>
    <cacheField name="DEPARTMENT" numFmtId="0">
      <sharedItems count="4">
        <s v="HR"/>
        <s v="Sales"/>
        <s v="Finance"/>
        <s v="IT"/>
      </sharedItems>
    </cacheField>
  </cacheFields>
  <extLst>
    <ext xmlns:x14="http://schemas.microsoft.com/office/spreadsheetml/2009/9/main" uri="{725AE2AE-9491-48be-B2B4-4EB974FC3084}">
      <x14:pivotCacheDefinition pivotCacheId="15393996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4.934749884262" createdVersion="8" refreshedVersion="8" minRefreshableVersion="3" recordCount="300" xr:uid="{FF799871-7658-49F4-BE47-B9FD7E612F06}">
  <cacheSource type="worksheet">
    <worksheetSource name="Table2"/>
  </cacheSource>
  <cacheFields count="10">
    <cacheField name="Emp_ID" numFmtId="0">
      <sharedItems count="50">
        <s v="E001"/>
        <s v="E002"/>
        <s v="E005"/>
        <s v="E006"/>
        <s v="E009"/>
        <s v="E011"/>
        <s v="E012"/>
        <s v="E013"/>
        <s v="E014"/>
        <s v="E015"/>
        <s v="E017"/>
        <s v="E020"/>
        <s v="E021"/>
        <s v="E022"/>
        <s v="E024"/>
        <s v="E025"/>
        <s v="E026"/>
        <s v="E027"/>
        <s v="E028"/>
        <s v="E030"/>
        <s v="E032"/>
        <s v="E033"/>
        <s v="E034"/>
        <s v="E036"/>
        <s v="E037"/>
        <s v="E041"/>
        <s v="E042"/>
        <s v="E043"/>
        <s v="E045"/>
        <s v="E046"/>
        <s v="E047"/>
        <s v="E048"/>
        <s v="E049"/>
        <s v="E050"/>
        <s v="E038"/>
        <s v="E016"/>
        <s v="E023"/>
        <s v="E039"/>
        <s v="E007"/>
        <s v="E029"/>
        <s v="E003"/>
        <s v="E004"/>
        <s v="E019"/>
        <s v="E010"/>
        <s v="E018"/>
        <s v="E040"/>
        <s v="E031"/>
        <s v="E035"/>
        <s v="E044"/>
        <s v="E008"/>
      </sharedItems>
    </cacheField>
    <cacheField name="Month" numFmtId="0">
      <sharedItems count="6">
        <s v="Feb-24"/>
        <s v="Jan-24"/>
        <s v="Jun-24"/>
        <s v="Apr-24"/>
        <s v="May-24"/>
        <s v="Mar-24"/>
      </sharedItems>
    </cacheField>
    <cacheField name="Attendance" numFmtId="9">
      <sharedItems containsSemiMixedTypes="0" containsString="0" containsNumber="1" minValue="0.72727272727272729" maxValue="1"/>
    </cacheField>
    <cacheField name="Productivity" numFmtId="9">
      <sharedItems containsSemiMixedTypes="0" containsString="0" containsNumber="1" minValue="0.80645161290322576" maxValue="1"/>
    </cacheField>
    <cacheField name="Rework" numFmtId="9">
      <sharedItems containsSemiMixedTypes="0" containsString="0" containsNumber="1" minValue="0" maxValue="0.2"/>
    </cacheField>
    <cacheField name="Absentism" numFmtId="9">
      <sharedItems containsSemiMixedTypes="0" containsString="0" containsNumber="1" minValue="0" maxValue="0.27272727272727271"/>
    </cacheField>
    <cacheField name="monthly salary" numFmtId="0">
      <sharedItems containsSemiMixedTypes="0" containsString="0" containsNumber="1" containsInteger="1" minValue="35728" maxValue="89427"/>
    </cacheField>
    <cacheField name="Cost_Leakage" numFmtId="167">
      <sharedItems containsSemiMixedTypes="0" containsString="0" containsNumber="1" minValue="0" maxValue="72851.741935483908"/>
    </cacheField>
    <cacheField name="Risk_Flag" numFmtId="0">
      <sharedItems count="3">
        <s v="HIGH"/>
        <s v="LOW"/>
        <s v="MEDIUM"/>
      </sharedItems>
    </cacheField>
    <cacheField name="DEPARTMENT" numFmtId="0">
      <sharedItems count="4">
        <s v="HR"/>
        <s v="Sales"/>
        <s v="Finance"/>
        <s v="IT"/>
      </sharedItems>
    </cacheField>
  </cacheFields>
  <extLst>
    <ext xmlns:x14="http://schemas.microsoft.com/office/spreadsheetml/2009/9/main" uri="{725AE2AE-9491-48be-B2B4-4EB974FC3084}">
      <x14:pivotCacheDefinition pivotCacheId="1676704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001"/>
    <x v="0"/>
    <n v="0.72727272727272729"/>
    <n v="1"/>
    <n v="0"/>
    <n v="0.27272727272727271"/>
    <n v="55448"/>
    <n v="0"/>
    <x v="0"/>
    <x v="0"/>
  </r>
  <r>
    <s v="E002"/>
    <x v="1"/>
    <n v="0.81818181818181823"/>
    <n v="1"/>
    <n v="5.7692307692307689E-2"/>
    <n v="0.18181818181818182"/>
    <n v="66433"/>
    <n v="0"/>
    <x v="0"/>
    <x v="1"/>
  </r>
  <r>
    <s v="E002"/>
    <x v="2"/>
    <n v="0.81818181818181823"/>
    <n v="1"/>
    <n v="0"/>
    <n v="0.18181818181818182"/>
    <n v="66433"/>
    <n v="0"/>
    <x v="0"/>
    <x v="1"/>
  </r>
  <r>
    <s v="E005"/>
    <x v="1"/>
    <n v="0.81818181818181823"/>
    <n v="1"/>
    <n v="0"/>
    <n v="0.18181818181818182"/>
    <n v="42012"/>
    <n v="0"/>
    <x v="0"/>
    <x v="1"/>
  </r>
  <r>
    <s v="E006"/>
    <x v="3"/>
    <n v="0.72727272727272729"/>
    <n v="1"/>
    <n v="0"/>
    <n v="0.27272727272727271"/>
    <n v="37736"/>
    <n v="0"/>
    <x v="0"/>
    <x v="2"/>
  </r>
  <r>
    <s v="E006"/>
    <x v="2"/>
    <n v="0.95454545454545459"/>
    <n v="1"/>
    <n v="5.8823529411764698E-2"/>
    <n v="4.5454545454545456E-2"/>
    <n v="37736"/>
    <n v="0"/>
    <x v="1"/>
    <x v="2"/>
  </r>
  <r>
    <s v="E009"/>
    <x v="4"/>
    <n v="0.72727272727272729"/>
    <n v="1"/>
    <n v="0"/>
    <n v="0.27272727272727271"/>
    <n v="46257"/>
    <n v="0"/>
    <x v="0"/>
    <x v="0"/>
  </r>
  <r>
    <s v="E011"/>
    <x v="5"/>
    <n v="0.95454545454545459"/>
    <n v="1"/>
    <n v="0"/>
    <n v="4.5454545454545456E-2"/>
    <n v="42493"/>
    <n v="0"/>
    <x v="1"/>
    <x v="3"/>
  </r>
  <r>
    <s v="E011"/>
    <x v="3"/>
    <n v="0.72727272727272729"/>
    <n v="1"/>
    <n v="1.6393442622950821E-2"/>
    <n v="0.27272727272727271"/>
    <n v="42493"/>
    <n v="0"/>
    <x v="0"/>
    <x v="3"/>
  </r>
  <r>
    <s v="E012"/>
    <x v="1"/>
    <n v="0.81818181818181823"/>
    <n v="1"/>
    <n v="5.8823529411764698E-2"/>
    <n v="0.18181818181818182"/>
    <n v="36447"/>
    <n v="0"/>
    <x v="0"/>
    <x v="3"/>
  </r>
  <r>
    <s v="E012"/>
    <x v="5"/>
    <n v="0.81818181818181823"/>
    <n v="1"/>
    <n v="0"/>
    <n v="0.18181818181818182"/>
    <n v="36447"/>
    <n v="0"/>
    <x v="0"/>
    <x v="3"/>
  </r>
  <r>
    <s v="E013"/>
    <x v="5"/>
    <n v="0.86363636363636365"/>
    <n v="1"/>
    <n v="1.2048192771084338E-2"/>
    <n v="0.13636363636363635"/>
    <n v="89085"/>
    <n v="0"/>
    <x v="0"/>
    <x v="1"/>
  </r>
  <r>
    <s v="E014"/>
    <x v="1"/>
    <n v="0.86363636363636365"/>
    <n v="1"/>
    <n v="1.282051282051282E-2"/>
    <n v="0.13636363636363635"/>
    <n v="41091"/>
    <n v="0"/>
    <x v="0"/>
    <x v="0"/>
  </r>
  <r>
    <s v="E015"/>
    <x v="0"/>
    <n v="0.90909090909090906"/>
    <n v="1"/>
    <n v="0"/>
    <n v="9.0909090909090912E-2"/>
    <n v="38287"/>
    <n v="0"/>
    <x v="2"/>
    <x v="1"/>
  </r>
  <r>
    <s v="E015"/>
    <x v="3"/>
    <n v="0.81818181818181823"/>
    <n v="1"/>
    <n v="5.5555555555555552E-2"/>
    <n v="0.18181818181818182"/>
    <n v="38287"/>
    <n v="0"/>
    <x v="0"/>
    <x v="1"/>
  </r>
  <r>
    <s v="E015"/>
    <x v="4"/>
    <n v="0.72727272727272729"/>
    <n v="1"/>
    <n v="0.13513513513513514"/>
    <n v="0.27272727272727271"/>
    <n v="38287"/>
    <n v="0"/>
    <x v="0"/>
    <x v="1"/>
  </r>
  <r>
    <s v="E017"/>
    <x v="1"/>
    <n v="0.86363636363636365"/>
    <n v="1"/>
    <n v="0.12820512820512819"/>
    <n v="0.13636363636363635"/>
    <n v="59857"/>
    <n v="0"/>
    <x v="0"/>
    <x v="2"/>
  </r>
  <r>
    <s v="E017"/>
    <x v="3"/>
    <n v="0.81818181818181823"/>
    <n v="1"/>
    <n v="7.6923076923076927E-2"/>
    <n v="0.18181818181818182"/>
    <n v="59857"/>
    <n v="0"/>
    <x v="0"/>
    <x v="2"/>
  </r>
  <r>
    <s v="E020"/>
    <x v="5"/>
    <n v="0.77272727272727271"/>
    <n v="1"/>
    <n v="1.5625E-2"/>
    <n v="0.22727272727272727"/>
    <n v="75277"/>
    <n v="0"/>
    <x v="0"/>
    <x v="0"/>
  </r>
  <r>
    <s v="E021"/>
    <x v="4"/>
    <n v="0.86363636363636365"/>
    <n v="1"/>
    <n v="7.5471698113207544E-2"/>
    <n v="0.13636363636363635"/>
    <n v="74159"/>
    <n v="0"/>
    <x v="0"/>
    <x v="0"/>
  </r>
  <r>
    <s v="E021"/>
    <x v="2"/>
    <n v="0.72727272727272729"/>
    <n v="1"/>
    <n v="0.11627906976744186"/>
    <n v="0.27272727272727271"/>
    <n v="74159"/>
    <n v="0"/>
    <x v="0"/>
    <x v="0"/>
  </r>
  <r>
    <s v="E022"/>
    <x v="0"/>
    <n v="0.95454545454545459"/>
    <n v="1"/>
    <n v="0"/>
    <n v="4.5454545454545456E-2"/>
    <n v="68844"/>
    <n v="0"/>
    <x v="1"/>
    <x v="0"/>
  </r>
  <r>
    <s v="E024"/>
    <x v="5"/>
    <n v="1"/>
    <n v="1"/>
    <n v="6.0606060606060608E-2"/>
    <n v="0"/>
    <n v="65366"/>
    <n v="0"/>
    <x v="1"/>
    <x v="2"/>
  </r>
  <r>
    <s v="E025"/>
    <x v="4"/>
    <n v="0.86363636363636365"/>
    <n v="1"/>
    <n v="3.5714285714285712E-2"/>
    <n v="0.13636363636363635"/>
    <n v="71628"/>
    <n v="0"/>
    <x v="0"/>
    <x v="2"/>
  </r>
  <r>
    <s v="E026"/>
    <x v="3"/>
    <n v="0.95454545454545459"/>
    <n v="1"/>
    <n v="0"/>
    <n v="4.5454545454545456E-2"/>
    <n v="61425"/>
    <n v="0"/>
    <x v="1"/>
    <x v="2"/>
  </r>
  <r>
    <s v="E026"/>
    <x v="4"/>
    <n v="0.77272727272727271"/>
    <n v="1"/>
    <n v="5.1724137931034482E-2"/>
    <n v="0.22727272727272727"/>
    <n v="61425"/>
    <n v="0"/>
    <x v="0"/>
    <x v="2"/>
  </r>
  <r>
    <s v="E027"/>
    <x v="5"/>
    <n v="0.81818181818181823"/>
    <n v="1"/>
    <n v="6.1728395061728392E-2"/>
    <n v="0.18181818181818182"/>
    <n v="79553"/>
    <n v="0"/>
    <x v="0"/>
    <x v="3"/>
  </r>
  <r>
    <s v="E028"/>
    <x v="0"/>
    <n v="0.90909090909090906"/>
    <n v="1"/>
    <n v="9.0909090909090912E-2"/>
    <n v="9.0909090909090912E-2"/>
    <n v="89427"/>
    <n v="0"/>
    <x v="2"/>
    <x v="1"/>
  </r>
  <r>
    <s v="E028"/>
    <x v="3"/>
    <n v="0.77272727272727271"/>
    <n v="1"/>
    <n v="0"/>
    <n v="0.22727272727272727"/>
    <n v="89427"/>
    <n v="0"/>
    <x v="0"/>
    <x v="1"/>
  </r>
  <r>
    <s v="E030"/>
    <x v="3"/>
    <n v="0.95454545454545459"/>
    <n v="1"/>
    <n v="1.8867924528301886E-2"/>
    <n v="4.5454545454545456E-2"/>
    <n v="55298"/>
    <n v="0"/>
    <x v="1"/>
    <x v="2"/>
  </r>
  <r>
    <s v="E032"/>
    <x v="1"/>
    <n v="0.72727272727272729"/>
    <n v="1"/>
    <n v="5.8823529411764698E-2"/>
    <n v="0.27272727272727271"/>
    <n v="80497"/>
    <n v="0"/>
    <x v="0"/>
    <x v="2"/>
  </r>
  <r>
    <s v="E033"/>
    <x v="3"/>
    <n v="0.77272727272727271"/>
    <n v="1"/>
    <n v="5.2631578947368418E-2"/>
    <n v="0.22727272727272727"/>
    <n v="54123"/>
    <n v="0"/>
    <x v="0"/>
    <x v="0"/>
  </r>
  <r>
    <s v="E034"/>
    <x v="0"/>
    <n v="0.77272727272727271"/>
    <n v="1"/>
    <n v="0.10526315789473684"/>
    <n v="0.22727272727272727"/>
    <n v="83035"/>
    <n v="0"/>
    <x v="0"/>
    <x v="0"/>
  </r>
  <r>
    <s v="E036"/>
    <x v="3"/>
    <n v="0.77272727272727271"/>
    <n v="1"/>
    <n v="0"/>
    <n v="0.22727272727272727"/>
    <n v="37560"/>
    <n v="0"/>
    <x v="0"/>
    <x v="3"/>
  </r>
  <r>
    <s v="E037"/>
    <x v="5"/>
    <n v="0.86363636363636365"/>
    <n v="1"/>
    <n v="5.3571428571428568E-2"/>
    <n v="0.13636363636363635"/>
    <n v="36399"/>
    <n v="0"/>
    <x v="0"/>
    <x v="2"/>
  </r>
  <r>
    <s v="E041"/>
    <x v="3"/>
    <n v="0.72727272727272729"/>
    <n v="1"/>
    <n v="1.1904761904761904E-2"/>
    <n v="0.27272727272727271"/>
    <n v="40435"/>
    <n v="0"/>
    <x v="0"/>
    <x v="1"/>
  </r>
  <r>
    <s v="E042"/>
    <x v="4"/>
    <n v="0.81818181818181823"/>
    <n v="1"/>
    <n v="6.9444444444444448E-2"/>
    <n v="0.18181818181818182"/>
    <n v="58061"/>
    <n v="0"/>
    <x v="0"/>
    <x v="3"/>
  </r>
  <r>
    <s v="E043"/>
    <x v="0"/>
    <n v="1"/>
    <n v="1"/>
    <n v="0"/>
    <n v="0"/>
    <n v="46149"/>
    <n v="0"/>
    <x v="1"/>
    <x v="3"/>
  </r>
  <r>
    <s v="E045"/>
    <x v="1"/>
    <n v="0.95454545454545459"/>
    <n v="1"/>
    <n v="0"/>
    <n v="4.5454545454545456E-2"/>
    <n v="37548"/>
    <n v="0"/>
    <x v="1"/>
    <x v="1"/>
  </r>
  <r>
    <s v="E045"/>
    <x v="0"/>
    <n v="1"/>
    <n v="1"/>
    <n v="0"/>
    <n v="0"/>
    <n v="37548"/>
    <n v="0"/>
    <x v="1"/>
    <x v="1"/>
  </r>
  <r>
    <s v="E046"/>
    <x v="1"/>
    <n v="0.95454545454545459"/>
    <n v="1"/>
    <n v="0.10526315789473684"/>
    <n v="4.5454545454545456E-2"/>
    <n v="44020"/>
    <n v="0"/>
    <x v="2"/>
    <x v="3"/>
  </r>
  <r>
    <s v="E046"/>
    <x v="4"/>
    <n v="1"/>
    <n v="1"/>
    <n v="5.7142857142857141E-2"/>
    <n v="0"/>
    <n v="44020"/>
    <n v="0"/>
    <x v="1"/>
    <x v="3"/>
  </r>
  <r>
    <s v="E047"/>
    <x v="1"/>
    <n v="0.77272727272727271"/>
    <n v="1"/>
    <n v="8.8235294117647065E-2"/>
    <n v="0.22727272727272727"/>
    <n v="82692"/>
    <n v="0"/>
    <x v="0"/>
    <x v="3"/>
  </r>
  <r>
    <s v="E048"/>
    <x v="5"/>
    <n v="0.81818181818181823"/>
    <n v="1"/>
    <n v="7.5471698113207544E-2"/>
    <n v="0.18181818181818182"/>
    <n v="39915"/>
    <n v="0"/>
    <x v="0"/>
    <x v="0"/>
  </r>
  <r>
    <s v="E048"/>
    <x v="4"/>
    <n v="1"/>
    <n v="1"/>
    <n v="9.6774193548387094E-2"/>
    <n v="0"/>
    <n v="39915"/>
    <n v="0"/>
    <x v="1"/>
    <x v="0"/>
  </r>
  <r>
    <s v="E049"/>
    <x v="5"/>
    <n v="0.81818181818181823"/>
    <n v="1"/>
    <n v="1.5625E-2"/>
    <n v="0.18181818181818182"/>
    <n v="59133"/>
    <n v="0"/>
    <x v="0"/>
    <x v="0"/>
  </r>
  <r>
    <s v="E050"/>
    <x v="0"/>
    <n v="0.95454545454545459"/>
    <n v="1"/>
    <n v="7.2727272727272724E-2"/>
    <n v="4.5454545454545456E-2"/>
    <n v="36280"/>
    <n v="0"/>
    <x v="1"/>
    <x v="0"/>
  </r>
  <r>
    <s v="E021"/>
    <x v="1"/>
    <n v="0.77272727272727271"/>
    <n v="0.98809523809523814"/>
    <n v="3.614457831325301E-2"/>
    <n v="0.22727272727272727"/>
    <n v="74159"/>
    <n v="0"/>
    <x v="0"/>
    <x v="0"/>
  </r>
  <r>
    <s v="E038"/>
    <x v="2"/>
    <n v="0.95454545454545459"/>
    <n v="0.98809523809523814"/>
    <n v="1.2048192771084338E-2"/>
    <n v="4.5454545454545456E-2"/>
    <n v="35728"/>
    <n v="0"/>
    <x v="1"/>
    <x v="2"/>
  </r>
  <r>
    <s v="E012"/>
    <x v="4"/>
    <n v="0.86363636363636365"/>
    <n v="0.98734177215189878"/>
    <n v="3.8461538461538464E-2"/>
    <n v="0.13636363636363635"/>
    <n v="36447"/>
    <n v="0"/>
    <x v="0"/>
    <x v="3"/>
  </r>
  <r>
    <s v="E045"/>
    <x v="5"/>
    <n v="1"/>
    <n v="0.9859154929577465"/>
    <n v="5.7142857142857141E-2"/>
    <n v="0"/>
    <n v="37548"/>
    <n v="0"/>
    <x v="1"/>
    <x v="1"/>
  </r>
  <r>
    <s v="E016"/>
    <x v="0"/>
    <n v="0.72727272727272729"/>
    <n v="0.98571428571428588"/>
    <n v="4.3478260869565216E-2"/>
    <n v="0.27272727272727271"/>
    <n v="61034"/>
    <n v="0"/>
    <x v="0"/>
    <x v="2"/>
  </r>
  <r>
    <s v="E036"/>
    <x v="0"/>
    <n v="0.81818181818181823"/>
    <n v="0.98571428571428588"/>
    <n v="1.4492753623188406E-2"/>
    <n v="0.18181818181818182"/>
    <n v="37560"/>
    <n v="0"/>
    <x v="0"/>
    <x v="3"/>
  </r>
  <r>
    <s v="E025"/>
    <x v="3"/>
    <n v="0.86363636363636365"/>
    <n v="0.98550724637681175"/>
    <n v="0"/>
    <n v="0.13636363636363635"/>
    <n v="71628"/>
    <n v="0"/>
    <x v="0"/>
    <x v="2"/>
  </r>
  <r>
    <s v="E009"/>
    <x v="3"/>
    <n v="0.90909090909090906"/>
    <n v="0.98529411764705888"/>
    <n v="2.9850746268656712E-2"/>
    <n v="9.0909090909090912E-2"/>
    <n v="46257"/>
    <n v="0"/>
    <x v="2"/>
    <x v="0"/>
  </r>
  <r>
    <s v="E023"/>
    <x v="0"/>
    <n v="0.72727272727272729"/>
    <n v="0.98529411764705888"/>
    <n v="5.9701492537313425E-2"/>
    <n v="0.27272727272727271"/>
    <n v="52195"/>
    <n v="0"/>
    <x v="0"/>
    <x v="0"/>
  </r>
  <r>
    <s v="E024"/>
    <x v="4"/>
    <n v="0.81818181818181823"/>
    <n v="0.98507462686567171"/>
    <n v="4.5454545454545456E-2"/>
    <n v="0.18181818181818182"/>
    <n v="65366"/>
    <n v="0"/>
    <x v="0"/>
    <x v="2"/>
  </r>
  <r>
    <s v="E039"/>
    <x v="5"/>
    <n v="1"/>
    <n v="0.98507462686567171"/>
    <n v="4.5454545454545456E-2"/>
    <n v="0"/>
    <n v="57209"/>
    <n v="0"/>
    <x v="1"/>
    <x v="3"/>
  </r>
  <r>
    <s v="E020"/>
    <x v="2"/>
    <n v="0.81818181818181823"/>
    <n v="0.98484848484848486"/>
    <n v="6.1538461538461542E-2"/>
    <n v="0.18181818181818182"/>
    <n v="75277"/>
    <n v="0"/>
    <x v="0"/>
    <x v="0"/>
  </r>
  <r>
    <s v="E007"/>
    <x v="5"/>
    <n v="0.81818181818181823"/>
    <n v="0.984375"/>
    <n v="4.7619047619047616E-2"/>
    <n v="0.18181818181818182"/>
    <n v="84043"/>
    <n v="0"/>
    <x v="0"/>
    <x v="0"/>
  </r>
  <r>
    <s v="E048"/>
    <x v="2"/>
    <n v="0.95454545454545459"/>
    <n v="0.984375"/>
    <n v="6.3492063492063489E-2"/>
    <n v="4.5454545454545456E-2"/>
    <n v="39915"/>
    <n v="0"/>
    <x v="1"/>
    <x v="0"/>
  </r>
  <r>
    <s v="E006"/>
    <x v="4"/>
    <n v="0.95454545454545459"/>
    <n v="0.98412698412698407"/>
    <n v="3.2258064516129031E-2"/>
    <n v="4.5454545454545456E-2"/>
    <n v="37736"/>
    <n v="0"/>
    <x v="1"/>
    <x v="2"/>
  </r>
  <r>
    <s v="E001"/>
    <x v="5"/>
    <n v="0.77272727272727271"/>
    <n v="0.9838709677419355"/>
    <n v="4.9180327868852458E-2"/>
    <n v="0.22727272727272727"/>
    <n v="55448"/>
    <n v="0"/>
    <x v="0"/>
    <x v="0"/>
  </r>
  <r>
    <s v="E001"/>
    <x v="3"/>
    <n v="0.72727272727272729"/>
    <n v="0.9838709677419355"/>
    <n v="0"/>
    <n v="0.27272727272727271"/>
    <n v="55448"/>
    <n v="0"/>
    <x v="0"/>
    <x v="0"/>
  </r>
  <r>
    <s v="E028"/>
    <x v="1"/>
    <n v="0.95454545454545459"/>
    <n v="0.9838709677419355"/>
    <n v="0"/>
    <n v="4.5454545454545456E-2"/>
    <n v="89427"/>
    <n v="0"/>
    <x v="1"/>
    <x v="1"/>
  </r>
  <r>
    <s v="E029"/>
    <x v="5"/>
    <n v="0.77272727272727271"/>
    <n v="0.98360655737704916"/>
    <n v="0"/>
    <n v="0.22727272727272727"/>
    <n v="71787"/>
    <n v="0"/>
    <x v="0"/>
    <x v="0"/>
  </r>
  <r>
    <s v="E002"/>
    <x v="0"/>
    <n v="0.86363636363636365"/>
    <n v="0.98305084745762716"/>
    <n v="8.6206896551724144E-2"/>
    <n v="0.13636363636363635"/>
    <n v="66433"/>
    <n v="0"/>
    <x v="0"/>
    <x v="1"/>
  </r>
  <r>
    <s v="E039"/>
    <x v="2"/>
    <n v="0.90909090909090906"/>
    <n v="0.98275862068965514"/>
    <n v="8.771929824561403E-2"/>
    <n v="9.0909090909090912E-2"/>
    <n v="57209"/>
    <n v="0"/>
    <x v="2"/>
    <x v="3"/>
  </r>
  <r>
    <s v="E005"/>
    <x v="4"/>
    <n v="1"/>
    <n v="0.98148148148148151"/>
    <n v="7.5471698113207544E-2"/>
    <n v="0"/>
    <n v="42012"/>
    <n v="0"/>
    <x v="1"/>
    <x v="1"/>
  </r>
  <r>
    <s v="E029"/>
    <x v="3"/>
    <n v="0.86363636363636365"/>
    <n v="0.98148148148148151"/>
    <n v="7.5471698113207544E-2"/>
    <n v="0.13636363636363635"/>
    <n v="71787"/>
    <n v="0"/>
    <x v="0"/>
    <x v="0"/>
  </r>
  <r>
    <s v="E020"/>
    <x v="3"/>
    <n v="0.81818181818181823"/>
    <n v="0.98113207547169812"/>
    <n v="3.8461538461538464E-2"/>
    <n v="0.18181818181818182"/>
    <n v="75277"/>
    <n v="0"/>
    <x v="0"/>
    <x v="0"/>
  </r>
  <r>
    <s v="E003"/>
    <x v="1"/>
    <n v="0.86363636363636365"/>
    <n v="0.98076923076923062"/>
    <n v="5.8823529411764698E-2"/>
    <n v="0.13636363636363635"/>
    <n v="49957"/>
    <n v="0"/>
    <x v="0"/>
    <x v="0"/>
  </r>
  <r>
    <s v="E005"/>
    <x v="3"/>
    <n v="0.90909090909090906"/>
    <n v="0.98076923076923062"/>
    <n v="1.9607843137254902E-2"/>
    <n v="9.0909090909090912E-2"/>
    <n v="42012"/>
    <n v="0"/>
    <x v="2"/>
    <x v="1"/>
  </r>
  <r>
    <s v="E033"/>
    <x v="5"/>
    <n v="0.95454545454545459"/>
    <n v="0.98076923076923062"/>
    <n v="1.9607843137254902E-2"/>
    <n v="4.5454545454545456E-2"/>
    <n v="54123"/>
    <n v="0"/>
    <x v="1"/>
    <x v="0"/>
  </r>
  <r>
    <s v="E003"/>
    <x v="5"/>
    <n v="1"/>
    <n v="0.98"/>
    <n v="6.1224489795918366E-2"/>
    <n v="0"/>
    <n v="49957"/>
    <n v="0"/>
    <x v="1"/>
    <x v="0"/>
  </r>
  <r>
    <s v="E007"/>
    <x v="3"/>
    <n v="1"/>
    <n v="0.97959183673469385"/>
    <n v="6.25E-2"/>
    <n v="0"/>
    <n v="84043"/>
    <n v="0"/>
    <x v="1"/>
    <x v="0"/>
  </r>
  <r>
    <s v="E029"/>
    <x v="2"/>
    <n v="0.77272727272727271"/>
    <n v="0.97959183673469385"/>
    <n v="0"/>
    <n v="0.22727272727272727"/>
    <n v="71787"/>
    <n v="0"/>
    <x v="0"/>
    <x v="0"/>
  </r>
  <r>
    <s v="E050"/>
    <x v="4"/>
    <n v="0.72727272727272729"/>
    <n v="0.97959183673469385"/>
    <n v="0"/>
    <n v="0.27272727272727271"/>
    <n v="36280"/>
    <n v="0"/>
    <x v="0"/>
    <x v="0"/>
  </r>
  <r>
    <s v="E012"/>
    <x v="0"/>
    <n v="1"/>
    <n v="0.97916666666666652"/>
    <n v="8.5106382978723402E-2"/>
    <n v="0"/>
    <n v="36447"/>
    <n v="0"/>
    <x v="1"/>
    <x v="3"/>
  </r>
  <r>
    <s v="E045"/>
    <x v="4"/>
    <n v="0.77272727272727271"/>
    <n v="0.97872340425531912"/>
    <n v="2.1739130434782608E-2"/>
    <n v="0.22727272727272727"/>
    <n v="37548"/>
    <n v="0"/>
    <x v="0"/>
    <x v="1"/>
  </r>
  <r>
    <s v="E009"/>
    <x v="1"/>
    <n v="0.90909090909090906"/>
    <n v="0.97826086956521729"/>
    <n v="8.8888888888888892E-2"/>
    <n v="9.0909090909090912E-2"/>
    <n v="46257"/>
    <n v="0"/>
    <x v="2"/>
    <x v="0"/>
  </r>
  <r>
    <s v="E004"/>
    <x v="1"/>
    <n v="1"/>
    <n v="0.97777777777777775"/>
    <n v="0"/>
    <n v="0"/>
    <n v="38396"/>
    <n v="0"/>
    <x v="1"/>
    <x v="3"/>
  </r>
  <r>
    <s v="E019"/>
    <x v="2"/>
    <n v="0.72727272727272729"/>
    <n v="0.97590361445783136"/>
    <n v="3.7037037037037035E-2"/>
    <n v="0.27272727272727271"/>
    <n v="84504"/>
    <n v="0"/>
    <x v="0"/>
    <x v="2"/>
  </r>
  <r>
    <s v="E038"/>
    <x v="4"/>
    <n v="0.72727272727272729"/>
    <n v="0.97590361445783136"/>
    <n v="4.9382716049382713E-2"/>
    <n v="0.27272727272727271"/>
    <n v="35728"/>
    <n v="0"/>
    <x v="0"/>
    <x v="2"/>
  </r>
  <r>
    <s v="E004"/>
    <x v="5"/>
    <n v="0.90909090909090906"/>
    <n v="0.97499999999999998"/>
    <n v="2.564102564102564E-2"/>
    <n v="9.0909090909090912E-2"/>
    <n v="38396"/>
    <n v="0"/>
    <x v="2"/>
    <x v="3"/>
  </r>
  <r>
    <s v="E017"/>
    <x v="2"/>
    <n v="0.72727272727272729"/>
    <n v="0.97499999999999998"/>
    <n v="5.128205128205128E-2"/>
    <n v="0.27272727272727271"/>
    <n v="59857"/>
    <n v="0"/>
    <x v="0"/>
    <x v="2"/>
  </r>
  <r>
    <s v="E048"/>
    <x v="1"/>
    <n v="1"/>
    <n v="0.97499999999999998"/>
    <n v="7.6923076923076927E-2"/>
    <n v="0"/>
    <n v="39915"/>
    <n v="0"/>
    <x v="1"/>
    <x v="0"/>
  </r>
  <r>
    <s v="E007"/>
    <x v="2"/>
    <n v="0.72727272727272729"/>
    <n v="0.97468354430379744"/>
    <n v="5.1948051948051945E-2"/>
    <n v="0.27272727272727271"/>
    <n v="84043"/>
    <n v="0"/>
    <x v="0"/>
    <x v="0"/>
  </r>
  <r>
    <s v="E010"/>
    <x v="4"/>
    <n v="0.90909090909090906"/>
    <n v="0.97402597402597413"/>
    <n v="0.04"/>
    <n v="9.0909090909090912E-2"/>
    <n v="45880"/>
    <n v="0"/>
    <x v="2"/>
    <x v="1"/>
  </r>
  <r>
    <s v="E034"/>
    <x v="4"/>
    <n v="0.86363636363636365"/>
    <n v="0.97402597402597413"/>
    <n v="0.04"/>
    <n v="0.13636363636363635"/>
    <n v="83035"/>
    <n v="0"/>
    <x v="0"/>
    <x v="0"/>
  </r>
  <r>
    <s v="E020"/>
    <x v="4"/>
    <n v="0.77272727272727271"/>
    <n v="0.97368421052631571"/>
    <n v="5.405405405405405E-2"/>
    <n v="0.22727272727272727"/>
    <n v="75277"/>
    <n v="0"/>
    <x v="0"/>
    <x v="0"/>
  </r>
  <r>
    <s v="E030"/>
    <x v="5"/>
    <n v="0.95454545454545459"/>
    <n v="0.97368421052631571"/>
    <n v="5.405405405405405E-2"/>
    <n v="4.5454545454545456E-2"/>
    <n v="55298"/>
    <n v="0"/>
    <x v="1"/>
    <x v="2"/>
  </r>
  <r>
    <s v="E013"/>
    <x v="4"/>
    <n v="0.77272727272727271"/>
    <n v="0.97333333333333338"/>
    <n v="1.3698630136986301E-2"/>
    <n v="0.22727272727272727"/>
    <n v="89085"/>
    <n v="0"/>
    <x v="0"/>
    <x v="1"/>
  </r>
  <r>
    <s v="E016"/>
    <x v="3"/>
    <n v="0.90909090909090906"/>
    <n v="0.97333333333333338"/>
    <n v="6.8493150684931503E-2"/>
    <n v="9.0909090909090912E-2"/>
    <n v="61034"/>
    <n v="0"/>
    <x v="2"/>
    <x v="2"/>
  </r>
  <r>
    <s v="E018"/>
    <x v="1"/>
    <n v="0.77272727272727271"/>
    <n v="0.9722222222222221"/>
    <n v="2.8571428571428571E-2"/>
    <n v="0.22727272727272727"/>
    <n v="37716"/>
    <n v="0"/>
    <x v="0"/>
    <x v="3"/>
  </r>
  <r>
    <s v="E029"/>
    <x v="1"/>
    <n v="0.81818181818181823"/>
    <n v="0.9722222222222221"/>
    <n v="2.8571428571428571E-2"/>
    <n v="0.18181818181818182"/>
    <n v="71787"/>
    <n v="0"/>
    <x v="0"/>
    <x v="0"/>
  </r>
  <r>
    <s v="E046"/>
    <x v="5"/>
    <n v="0.90909090909090906"/>
    <n v="0.9722222222222221"/>
    <n v="2.8571428571428571E-2"/>
    <n v="9.0909090909090912E-2"/>
    <n v="44020"/>
    <n v="0"/>
    <x v="2"/>
    <x v="3"/>
  </r>
  <r>
    <s v="E010"/>
    <x v="2"/>
    <n v="0.95454545454545459"/>
    <n v="0.971830985915493"/>
    <n v="1.4492753623188406E-2"/>
    <n v="4.5454545454545456E-2"/>
    <n v="45880"/>
    <n v="0"/>
    <x v="1"/>
    <x v="1"/>
  </r>
  <r>
    <s v="E020"/>
    <x v="0"/>
    <n v="0.72727272727272729"/>
    <n v="0.971830985915493"/>
    <n v="4.3478260869565216E-2"/>
    <n v="0.27272727272727271"/>
    <n v="75277"/>
    <n v="0"/>
    <x v="0"/>
    <x v="0"/>
  </r>
  <r>
    <s v="E041"/>
    <x v="5"/>
    <n v="0.81818181818181823"/>
    <n v="0.97142857142857142"/>
    <n v="2.9411764705882349E-2"/>
    <n v="0.18181818181818182"/>
    <n v="40435"/>
    <n v="0"/>
    <x v="0"/>
    <x v="1"/>
  </r>
  <r>
    <s v="E011"/>
    <x v="0"/>
    <n v="0.81818181818181823"/>
    <n v="0.97058823529411764"/>
    <n v="0.12121212121212122"/>
    <n v="0.18181818181818182"/>
    <n v="42493"/>
    <n v="0"/>
    <x v="0"/>
    <x v="3"/>
  </r>
  <r>
    <s v="E024"/>
    <x v="3"/>
    <n v="0.95454545454545459"/>
    <n v="0.97014925373134331"/>
    <n v="4.6153846153846156E-2"/>
    <n v="4.5454545454545456E-2"/>
    <n v="65366"/>
    <n v="0"/>
    <x v="1"/>
    <x v="2"/>
  </r>
  <r>
    <s v="E017"/>
    <x v="4"/>
    <n v="0.90909090909090906"/>
    <n v="0.96969696969696972"/>
    <n v="3.125E-2"/>
    <n v="9.0909090909090912E-2"/>
    <n v="59857"/>
    <n v="0"/>
    <x v="2"/>
    <x v="2"/>
  </r>
  <r>
    <s v="E040"/>
    <x v="0"/>
    <n v="0.72727272727272729"/>
    <n v="0.96969696969696972"/>
    <n v="6.25E-2"/>
    <n v="0.27272727272727271"/>
    <n v="62782"/>
    <n v="0"/>
    <x v="0"/>
    <x v="1"/>
  </r>
  <r>
    <s v="E023"/>
    <x v="3"/>
    <n v="1"/>
    <n v="0.96923076923076923"/>
    <n v="7.9365079365079361E-2"/>
    <n v="0"/>
    <n v="52195"/>
    <n v="0"/>
    <x v="1"/>
    <x v="0"/>
  </r>
  <r>
    <s v="E006"/>
    <x v="1"/>
    <n v="0.77272727272727271"/>
    <n v="0.96875"/>
    <n v="3.2258064516129031E-2"/>
    <n v="0.22727272727272727"/>
    <n v="37736"/>
    <n v="0"/>
    <x v="0"/>
    <x v="2"/>
  </r>
  <r>
    <s v="E025"/>
    <x v="1"/>
    <n v="1"/>
    <n v="0.96875"/>
    <n v="0.12903225806451613"/>
    <n v="0"/>
    <n v="71628"/>
    <n v="0"/>
    <x v="2"/>
    <x v="2"/>
  </r>
  <r>
    <s v="E042"/>
    <x v="1"/>
    <n v="0.77272727272727271"/>
    <n v="0.96825396825396826"/>
    <n v="4.9180327868852458E-2"/>
    <n v="0.22727272727272727"/>
    <n v="58061"/>
    <n v="0"/>
    <x v="0"/>
    <x v="3"/>
  </r>
  <r>
    <s v="E031"/>
    <x v="3"/>
    <n v="0.95454545454545459"/>
    <n v="0.967741935483871"/>
    <n v="0"/>
    <n v="4.5454545454545456E-2"/>
    <n v="52765"/>
    <n v="0"/>
    <x v="1"/>
    <x v="3"/>
  </r>
  <r>
    <s v="E047"/>
    <x v="3"/>
    <n v="0.72727272727272729"/>
    <n v="0.967741935483871"/>
    <n v="6.6666666666666666E-2"/>
    <n v="0.27272727272727271"/>
    <n v="82692"/>
    <n v="0"/>
    <x v="0"/>
    <x v="3"/>
  </r>
  <r>
    <s v="E004"/>
    <x v="4"/>
    <n v="1"/>
    <n v="0.96551724137931028"/>
    <n v="8.9285714285714288E-2"/>
    <n v="0"/>
    <n v="38396"/>
    <n v="0"/>
    <x v="1"/>
    <x v="3"/>
  </r>
  <r>
    <s v="E035"/>
    <x v="5"/>
    <n v="1"/>
    <n v="0.9642857142857143"/>
    <n v="3.7037037037037035E-2"/>
    <n v="0"/>
    <n v="86706"/>
    <n v="0"/>
    <x v="1"/>
    <x v="0"/>
  </r>
  <r>
    <s v="E041"/>
    <x v="1"/>
    <n v="0.95454545454545459"/>
    <n v="0.9642857142857143"/>
    <n v="0"/>
    <n v="4.5454545454545456E-2"/>
    <n v="40435"/>
    <n v="0"/>
    <x v="1"/>
    <x v="1"/>
  </r>
  <r>
    <s v="E005"/>
    <x v="0"/>
    <n v="0.95454545454545459"/>
    <n v="0.96385542168674698"/>
    <n v="0"/>
    <n v="4.5454545454545456E-2"/>
    <n v="42012"/>
    <n v="0"/>
    <x v="1"/>
    <x v="1"/>
  </r>
  <r>
    <s v="E050"/>
    <x v="1"/>
    <n v="0.77272727272727271"/>
    <n v="0.96385542168674698"/>
    <n v="6.25E-2"/>
    <n v="0.22727272727272727"/>
    <n v="36280"/>
    <n v="0"/>
    <x v="0"/>
    <x v="0"/>
  </r>
  <r>
    <s v="E019"/>
    <x v="0"/>
    <n v="0.95454545454545459"/>
    <n v="0.96363636363636362"/>
    <n v="7.5471698113207544E-2"/>
    <n v="4.5454545454545456E-2"/>
    <n v="84504"/>
    <n v="0"/>
    <x v="1"/>
    <x v="2"/>
  </r>
  <r>
    <s v="E022"/>
    <x v="5"/>
    <n v="0.86363636363636365"/>
    <n v="0.96363636363636362"/>
    <n v="9.4339622641509441E-2"/>
    <n v="0.13636363636363635"/>
    <n v="68844"/>
    <n v="0"/>
    <x v="0"/>
    <x v="0"/>
  </r>
  <r>
    <s v="E040"/>
    <x v="4"/>
    <n v="0.72727272727272729"/>
    <n v="0.96296296296296291"/>
    <n v="1.9230769230769232E-2"/>
    <n v="0.27272727272727271"/>
    <n v="62782"/>
    <n v="0"/>
    <x v="0"/>
    <x v="1"/>
  </r>
  <r>
    <s v="E035"/>
    <x v="0"/>
    <n v="0.95454545454545459"/>
    <n v="0.96226415094339623"/>
    <n v="7.8431372549019607E-2"/>
    <n v="4.5454545454545456E-2"/>
    <n v="86706"/>
    <n v="0"/>
    <x v="1"/>
    <x v="0"/>
  </r>
  <r>
    <s v="E037"/>
    <x v="0"/>
    <n v="0.77272727272727271"/>
    <n v="0.96153846153846156"/>
    <n v="0.08"/>
    <n v="0.22727272727272727"/>
    <n v="36399"/>
    <n v="0"/>
    <x v="0"/>
    <x v="2"/>
  </r>
  <r>
    <s v="E040"/>
    <x v="5"/>
    <n v="1"/>
    <n v="0.96153846153846156"/>
    <n v="1.3333333333333334E-2"/>
    <n v="0"/>
    <n v="62782"/>
    <n v="0"/>
    <x v="1"/>
    <x v="1"/>
  </r>
  <r>
    <s v="E043"/>
    <x v="4"/>
    <n v="0.90909090909090906"/>
    <n v="0.96153846153846156"/>
    <n v="0"/>
    <n v="9.0909090909090912E-2"/>
    <n v="46149"/>
    <n v="0"/>
    <x v="2"/>
    <x v="3"/>
  </r>
  <r>
    <s v="E044"/>
    <x v="5"/>
    <n v="0.77272727272727271"/>
    <n v="0.96153846153846156"/>
    <n v="1.3333333333333334E-2"/>
    <n v="0.22727272727272727"/>
    <n v="77876"/>
    <n v="0"/>
    <x v="0"/>
    <x v="1"/>
  </r>
  <r>
    <s v="E022"/>
    <x v="2"/>
    <n v="1"/>
    <n v="0.96"/>
    <n v="6.25E-2"/>
    <n v="0"/>
    <n v="68844"/>
    <n v="0"/>
    <x v="1"/>
    <x v="0"/>
  </r>
  <r>
    <s v="E028"/>
    <x v="4"/>
    <n v="0.77272727272727271"/>
    <n v="0.96"/>
    <n v="0"/>
    <n v="0.22727272727272727"/>
    <n v="89427"/>
    <n v="0"/>
    <x v="0"/>
    <x v="1"/>
  </r>
  <r>
    <s v="E049"/>
    <x v="0"/>
    <n v="0.90909090909090906"/>
    <n v="0.96"/>
    <n v="0.10416666666666669"/>
    <n v="9.0909090909090912E-2"/>
    <n v="59133"/>
    <n v="0"/>
    <x v="2"/>
    <x v="0"/>
  </r>
  <r>
    <s v="E008"/>
    <x v="5"/>
    <n v="0.81818181818181823"/>
    <n v="0.95918367346938771"/>
    <n v="0"/>
    <n v="0.18181818181818182"/>
    <n v="80699"/>
    <n v="0"/>
    <x v="0"/>
    <x v="3"/>
  </r>
  <r>
    <s v="E012"/>
    <x v="2"/>
    <n v="0.77272727272727271"/>
    <n v="0.95774647887323938"/>
    <n v="5.8823529411764698E-2"/>
    <n v="0.22727272727272727"/>
    <n v="36447"/>
    <n v="0"/>
    <x v="0"/>
    <x v="3"/>
  </r>
  <r>
    <s v="E031"/>
    <x v="1"/>
    <n v="0.81818181818181823"/>
    <n v="0.95744680851063835"/>
    <n v="0"/>
    <n v="0.18181818181818182"/>
    <n v="52765"/>
    <n v="0"/>
    <x v="0"/>
    <x v="3"/>
  </r>
  <r>
    <s v="E045"/>
    <x v="2"/>
    <n v="0.81818181818181823"/>
    <n v="0.95714285714285718"/>
    <n v="5.9701492537313425E-2"/>
    <n v="0.18181818181818182"/>
    <n v="37548"/>
    <n v="0"/>
    <x v="0"/>
    <x v="1"/>
  </r>
  <r>
    <s v="E035"/>
    <x v="2"/>
    <n v="0.86363636363636365"/>
    <n v="0.95652173913043481"/>
    <n v="0"/>
    <n v="0.13636363636363635"/>
    <n v="86706"/>
    <n v="0"/>
    <x v="0"/>
    <x v="0"/>
  </r>
  <r>
    <s v="E042"/>
    <x v="3"/>
    <n v="0.72727272727272729"/>
    <n v="0.95652173913043481"/>
    <n v="6.0606060606060608E-2"/>
    <n v="0.27272727272727271"/>
    <n v="58061"/>
    <n v="0"/>
    <x v="0"/>
    <x v="3"/>
  </r>
  <r>
    <s v="E009"/>
    <x v="0"/>
    <n v="0.81818181818181823"/>
    <n v="0.95588235294117652"/>
    <n v="1.5384615384615385E-2"/>
    <n v="0.18181818181818182"/>
    <n v="46257"/>
    <n v="0"/>
    <x v="0"/>
    <x v="0"/>
  </r>
  <r>
    <s v="E010"/>
    <x v="5"/>
    <n v="0.95454545454545459"/>
    <n v="0.9555555555555556"/>
    <n v="6.9767441860465115E-2"/>
    <n v="4.5454545454545456E-2"/>
    <n v="45880"/>
    <n v="0"/>
    <x v="1"/>
    <x v="1"/>
  </r>
  <r>
    <s v="E041"/>
    <x v="2"/>
    <n v="0.77272727272727271"/>
    <n v="0.9552238805970148"/>
    <n v="7.8125E-2"/>
    <n v="0.22727272727272727"/>
    <n v="40435"/>
    <n v="0"/>
    <x v="0"/>
    <x v="1"/>
  </r>
  <r>
    <s v="E009"/>
    <x v="2"/>
    <n v="0.77272727272727271"/>
    <n v="0.95454545454545459"/>
    <n v="1.5873015873015872E-2"/>
    <n v="0.22727272727272727"/>
    <n v="46257"/>
    <n v="0"/>
    <x v="0"/>
    <x v="0"/>
  </r>
  <r>
    <s v="E019"/>
    <x v="5"/>
    <n v="0.81818181818181823"/>
    <n v="0.95454545454545459"/>
    <n v="6.3492063492063489E-2"/>
    <n v="0.18181818181818182"/>
    <n v="84504"/>
    <n v="0"/>
    <x v="0"/>
    <x v="2"/>
  </r>
  <r>
    <s v="E039"/>
    <x v="4"/>
    <n v="1"/>
    <n v="0.95454545454545459"/>
    <n v="6.3492063492063489E-2"/>
    <n v="0"/>
    <n v="57209"/>
    <n v="0"/>
    <x v="1"/>
    <x v="3"/>
  </r>
  <r>
    <s v="E018"/>
    <x v="4"/>
    <n v="0.81818181818181823"/>
    <n v="0.9538461538461539"/>
    <n v="0"/>
    <n v="0.18181818181818182"/>
    <n v="37716"/>
    <n v="0"/>
    <x v="0"/>
    <x v="3"/>
  </r>
  <r>
    <s v="E039"/>
    <x v="0"/>
    <n v="0.72727272727272729"/>
    <n v="0.9538461538461539"/>
    <n v="4.8387096774193547E-2"/>
    <n v="0.27272727272727271"/>
    <n v="57209"/>
    <n v="0"/>
    <x v="0"/>
    <x v="3"/>
  </r>
  <r>
    <s v="E016"/>
    <x v="2"/>
    <n v="0.72727272727272729"/>
    <n v="0.95348837209302328"/>
    <n v="7.3170731707317069E-2"/>
    <n v="0.27272727272727271"/>
    <n v="61034"/>
    <n v="0"/>
    <x v="0"/>
    <x v="2"/>
  </r>
  <r>
    <s v="E047"/>
    <x v="0"/>
    <n v="1"/>
    <n v="0.953125"/>
    <n v="0"/>
    <n v="0"/>
    <n v="82692"/>
    <n v="0"/>
    <x v="1"/>
    <x v="3"/>
  </r>
  <r>
    <s v="E014"/>
    <x v="0"/>
    <n v="0.81818181818181823"/>
    <n v="0.95238095238095222"/>
    <n v="0"/>
    <n v="0.18181818181818182"/>
    <n v="41091"/>
    <n v="0"/>
    <x v="0"/>
    <x v="0"/>
  </r>
  <r>
    <s v="E045"/>
    <x v="3"/>
    <n v="0.95454545454545459"/>
    <n v="0.95180722891566261"/>
    <n v="1.2658227848101267E-2"/>
    <n v="4.5454545454545456E-2"/>
    <n v="37548"/>
    <n v="0"/>
    <x v="1"/>
    <x v="1"/>
  </r>
  <r>
    <s v="E022"/>
    <x v="3"/>
    <n v="0.77272727272727271"/>
    <n v="0.95121951219512202"/>
    <n v="3.8461538461538464E-2"/>
    <n v="0.22727272727272727"/>
    <n v="68844"/>
    <n v="0"/>
    <x v="0"/>
    <x v="0"/>
  </r>
  <r>
    <s v="E035"/>
    <x v="4"/>
    <n v="0.81818181818181823"/>
    <n v="0.95081967213114749"/>
    <n v="1.7241379310344827E-2"/>
    <n v="0.18181818181818182"/>
    <n v="86706"/>
    <n v="0"/>
    <x v="0"/>
    <x v="0"/>
  </r>
  <r>
    <s v="E044"/>
    <x v="4"/>
    <n v="0.95454545454545459"/>
    <n v="0.95081967213114749"/>
    <n v="5.1724137931034482E-2"/>
    <n v="4.5454545454545456E-2"/>
    <n v="77876"/>
    <n v="0"/>
    <x v="1"/>
    <x v="1"/>
  </r>
  <r>
    <s v="E004"/>
    <x v="3"/>
    <n v="0.86363636363636365"/>
    <n v="0.95"/>
    <n v="3.5087719298245612E-2"/>
    <n v="0.13636363636363635"/>
    <n v="38396"/>
    <n v="0"/>
    <x v="0"/>
    <x v="3"/>
  </r>
  <r>
    <s v="E009"/>
    <x v="5"/>
    <n v="0.81818181818181823"/>
    <n v="0.95"/>
    <n v="7.0175438596491224E-2"/>
    <n v="0.18181818181818182"/>
    <n v="46257"/>
    <n v="0"/>
    <x v="0"/>
    <x v="0"/>
  </r>
  <r>
    <s v="E030"/>
    <x v="4"/>
    <n v="1"/>
    <n v="0.949367088607595"/>
    <n v="1.3333333333333334E-2"/>
    <n v="0"/>
    <n v="55298"/>
    <n v="0"/>
    <x v="1"/>
    <x v="2"/>
  </r>
  <r>
    <s v="E001"/>
    <x v="4"/>
    <n v="0.72727272727272729"/>
    <n v="0.94915254237288138"/>
    <n v="7.1428571428571425E-2"/>
    <n v="0.27272727272727271"/>
    <n v="55448"/>
    <n v="0"/>
    <x v="0"/>
    <x v="0"/>
  </r>
  <r>
    <s v="E031"/>
    <x v="0"/>
    <n v="1"/>
    <n v="0.94871794871794857"/>
    <n v="5.405405405405405E-2"/>
    <n v="0"/>
    <n v="52765"/>
    <n v="0"/>
    <x v="1"/>
    <x v="3"/>
  </r>
  <r>
    <s v="E026"/>
    <x v="0"/>
    <n v="1"/>
    <n v="0.94827586206896552"/>
    <n v="9.0909090909090912E-2"/>
    <n v="0"/>
    <n v="61425"/>
    <n v="0"/>
    <x v="1"/>
    <x v="2"/>
  </r>
  <r>
    <s v="E034"/>
    <x v="2"/>
    <n v="0.77272727272727271"/>
    <n v="0.94805194805194803"/>
    <n v="4.1095890410958902E-2"/>
    <n v="0.22727272727272727"/>
    <n v="83035"/>
    <n v="0"/>
    <x v="0"/>
    <x v="0"/>
  </r>
  <r>
    <s v="E016"/>
    <x v="4"/>
    <n v="0.72727272727272729"/>
    <n v="0.94736842105263153"/>
    <n v="2.7777777777777776E-2"/>
    <n v="0.27272727272727271"/>
    <n v="61034"/>
    <n v="0"/>
    <x v="0"/>
    <x v="2"/>
  </r>
  <r>
    <s v="E014"/>
    <x v="5"/>
    <n v="0.72727272727272729"/>
    <n v="0.94666666666666677"/>
    <n v="1.4084507042253523E-2"/>
    <n v="0.27272727272727271"/>
    <n v="41091"/>
    <n v="0"/>
    <x v="0"/>
    <x v="0"/>
  </r>
  <r>
    <s v="E018"/>
    <x v="2"/>
    <n v="0.90909090909090906"/>
    <n v="0.94666666666666677"/>
    <n v="1.4084507042253523E-2"/>
    <n v="9.0909090909090912E-2"/>
    <n v="37716"/>
    <n v="0"/>
    <x v="2"/>
    <x v="3"/>
  </r>
  <r>
    <s v="E049"/>
    <x v="3"/>
    <n v="0.81818181818181823"/>
    <n v="0.94594594594594594"/>
    <n v="8.5714285714285715E-2"/>
    <n v="0.18181818181818182"/>
    <n v="59133"/>
    <n v="0"/>
    <x v="0"/>
    <x v="0"/>
  </r>
  <r>
    <s v="E002"/>
    <x v="5"/>
    <n v="0.77272727272727271"/>
    <n v="0.94545454545454544"/>
    <n v="5.7692307692307689E-2"/>
    <n v="0.22727272727272727"/>
    <n v="66433"/>
    <n v="0"/>
    <x v="0"/>
    <x v="1"/>
  </r>
  <r>
    <s v="E040"/>
    <x v="3"/>
    <n v="1"/>
    <n v="0.94545454545454544"/>
    <n v="5.7692307692307689E-2"/>
    <n v="0"/>
    <n v="62782"/>
    <n v="0"/>
    <x v="1"/>
    <x v="1"/>
  </r>
  <r>
    <s v="E013"/>
    <x v="0"/>
    <n v="0.72727272727272729"/>
    <n v="0.94444444444444442"/>
    <n v="5.8823529411764698E-2"/>
    <n v="0.27272727272727271"/>
    <n v="89085"/>
    <n v="0"/>
    <x v="0"/>
    <x v="1"/>
  </r>
  <r>
    <s v="E035"/>
    <x v="1"/>
    <n v="0.81818181818181823"/>
    <n v="0.94444444444444442"/>
    <n v="5.8823529411764698E-2"/>
    <n v="0.18181818181818182"/>
    <n v="86706"/>
    <n v="0"/>
    <x v="0"/>
    <x v="0"/>
  </r>
  <r>
    <s v="E013"/>
    <x v="1"/>
    <n v="1"/>
    <n v="0.94339622641509435"/>
    <n v="0.02"/>
    <n v="0"/>
    <n v="89085"/>
    <n v="0"/>
    <x v="1"/>
    <x v="1"/>
  </r>
  <r>
    <s v="E043"/>
    <x v="5"/>
    <n v="0.81818181818181823"/>
    <n v="0.94339622641509435"/>
    <n v="0.06"/>
    <n v="0.18181818181818182"/>
    <n v="46149"/>
    <n v="0"/>
    <x v="0"/>
    <x v="3"/>
  </r>
  <r>
    <s v="E010"/>
    <x v="0"/>
    <n v="0.81818181818181823"/>
    <n v="0.94285714285714273"/>
    <n v="3.0303030303030304E-2"/>
    <n v="0.18181818181818182"/>
    <n v="45880"/>
    <n v="0"/>
    <x v="0"/>
    <x v="1"/>
  </r>
  <r>
    <s v="E024"/>
    <x v="2"/>
    <n v="0.86363636363636365"/>
    <n v="0.94230769230769229"/>
    <n v="8.1632653061224497E-2"/>
    <n v="0.13636363636363635"/>
    <n v="65366"/>
    <n v="0"/>
    <x v="0"/>
    <x v="2"/>
  </r>
  <r>
    <s v="E033"/>
    <x v="1"/>
    <n v="0.90909090909090906"/>
    <n v="0.94230769230769229"/>
    <n v="6.1224489795918366E-2"/>
    <n v="9.0909090909090912E-2"/>
    <n v="54123"/>
    <n v="0"/>
    <x v="2"/>
    <x v="0"/>
  </r>
  <r>
    <s v="E048"/>
    <x v="3"/>
    <n v="1"/>
    <n v="0.94202898550724645"/>
    <n v="3.0769230769230771E-2"/>
    <n v="0"/>
    <n v="39915"/>
    <n v="0"/>
    <x v="1"/>
    <x v="0"/>
  </r>
  <r>
    <s v="E018"/>
    <x v="0"/>
    <n v="0.77272727272727271"/>
    <n v="0.94117647058823517"/>
    <n v="0"/>
    <n v="0.22727272727272727"/>
    <n v="37716"/>
    <n v="0"/>
    <x v="0"/>
    <x v="3"/>
  </r>
  <r>
    <s v="E032"/>
    <x v="3"/>
    <n v="0.72727272727272729"/>
    <n v="0.94117647058823517"/>
    <n v="0"/>
    <n v="0.27272727272727271"/>
    <n v="80497"/>
    <n v="0"/>
    <x v="0"/>
    <x v="2"/>
  </r>
  <r>
    <s v="E008"/>
    <x v="4"/>
    <n v="0.72727272727272729"/>
    <n v="0.94047619047619047"/>
    <n v="1.2658227848101267E-2"/>
    <n v="0.27272727272727271"/>
    <n v="80699"/>
    <n v="0"/>
    <x v="0"/>
    <x v="3"/>
  </r>
  <r>
    <s v="E022"/>
    <x v="4"/>
    <n v="0.77272727272727271"/>
    <n v="0.94029850746268662"/>
    <n v="3.1746031746031744E-2"/>
    <n v="0.22727272727272727"/>
    <n v="68844"/>
    <n v="0"/>
    <x v="0"/>
    <x v="0"/>
  </r>
  <r>
    <s v="E015"/>
    <x v="5"/>
    <n v="0.72727272727272729"/>
    <n v="0.93939393939393934"/>
    <n v="4.8387096774193547E-2"/>
    <n v="0.27272727272727271"/>
    <n v="38287"/>
    <n v="0"/>
    <x v="0"/>
    <x v="1"/>
  </r>
  <r>
    <s v="E036"/>
    <x v="5"/>
    <n v="0.77272727272727271"/>
    <n v="0.93939393939393934"/>
    <n v="1.6129032258064516E-2"/>
    <n v="0.22727272727272727"/>
    <n v="37560"/>
    <n v="0"/>
    <x v="0"/>
    <x v="3"/>
  </r>
  <r>
    <s v="E018"/>
    <x v="3"/>
    <n v="0.81818181818181823"/>
    <n v="0.93877551020408168"/>
    <n v="6.5217391304347824E-2"/>
    <n v="0.18181818181818182"/>
    <n v="37716"/>
    <n v="0"/>
    <x v="0"/>
    <x v="3"/>
  </r>
  <r>
    <s v="E023"/>
    <x v="1"/>
    <n v="1"/>
    <n v="0.93877551020408168"/>
    <n v="0"/>
    <n v="0"/>
    <n v="52195"/>
    <n v="0"/>
    <x v="1"/>
    <x v="0"/>
  </r>
  <r>
    <s v="E050"/>
    <x v="5"/>
    <n v="0.72727272727272729"/>
    <n v="0.93877551020408168"/>
    <n v="8.6956521739130432E-2"/>
    <n v="0.27272727272727271"/>
    <n v="36280"/>
    <n v="0"/>
    <x v="0"/>
    <x v="0"/>
  </r>
  <r>
    <s v="E023"/>
    <x v="5"/>
    <n v="0.86363636363636365"/>
    <n v="0.93846153846153835"/>
    <n v="3.2786885245901641E-2"/>
    <n v="0.13636363636363635"/>
    <n v="52195"/>
    <n v="0"/>
    <x v="0"/>
    <x v="0"/>
  </r>
  <r>
    <s v="E023"/>
    <x v="2"/>
    <n v="0.86363636363636365"/>
    <n v="0.93827160493827155"/>
    <n v="6.5789473684210523E-2"/>
    <n v="0.13636363636363635"/>
    <n v="52195"/>
    <n v="0"/>
    <x v="0"/>
    <x v="0"/>
  </r>
  <r>
    <s v="E003"/>
    <x v="3"/>
    <n v="1"/>
    <n v="0.9375"/>
    <n v="6.6666666666666666E-2"/>
    <n v="0"/>
    <n v="49957"/>
    <n v="0"/>
    <x v="1"/>
    <x v="0"/>
  </r>
  <r>
    <s v="E012"/>
    <x v="3"/>
    <n v="0.77272727272727271"/>
    <n v="0.9375"/>
    <n v="0"/>
    <n v="0.22727272727272727"/>
    <n v="36447"/>
    <n v="0"/>
    <x v="0"/>
    <x v="3"/>
  </r>
  <r>
    <s v="E029"/>
    <x v="0"/>
    <n v="0.95454545454545459"/>
    <n v="0.9375"/>
    <n v="0"/>
    <n v="4.5454545454545456E-2"/>
    <n v="71787"/>
    <n v="0"/>
    <x v="1"/>
    <x v="0"/>
  </r>
  <r>
    <s v="E032"/>
    <x v="0"/>
    <n v="1"/>
    <n v="0.9375"/>
    <n v="6.6666666666666666E-2"/>
    <n v="0"/>
    <n v="80497"/>
    <n v="0"/>
    <x v="1"/>
    <x v="2"/>
  </r>
  <r>
    <s v="E049"/>
    <x v="4"/>
    <n v="0.90909090909090906"/>
    <n v="0.9375"/>
    <n v="0.1111111111111111"/>
    <n v="9.0909090909090912E-2"/>
    <n v="59133"/>
    <n v="0"/>
    <x v="2"/>
    <x v="0"/>
  </r>
  <r>
    <s v="E025"/>
    <x v="5"/>
    <n v="0.77272727272727271"/>
    <n v="0.93670886075949367"/>
    <n v="2.7027027027027025E-2"/>
    <n v="0.22727272727272727"/>
    <n v="71628"/>
    <n v="0"/>
    <x v="0"/>
    <x v="2"/>
  </r>
  <r>
    <s v="E028"/>
    <x v="2"/>
    <n v="0.90909090909090906"/>
    <n v="0.93670886075949367"/>
    <n v="5.405405405405405E-2"/>
    <n v="9.0909090909090912E-2"/>
    <n v="89427"/>
    <n v="0"/>
    <x v="2"/>
    <x v="1"/>
  </r>
  <r>
    <s v="E030"/>
    <x v="0"/>
    <n v="1"/>
    <n v="0.9358974358974359"/>
    <n v="1.3698630136986301E-2"/>
    <n v="0"/>
    <n v="55298"/>
    <n v="0"/>
    <x v="1"/>
    <x v="2"/>
  </r>
  <r>
    <s v="E046"/>
    <x v="0"/>
    <n v="0.90909090909090906"/>
    <n v="0.9358974358974359"/>
    <n v="0"/>
    <n v="9.0909090909090912E-2"/>
    <n v="44020"/>
    <n v="0"/>
    <x v="2"/>
    <x v="3"/>
  </r>
  <r>
    <s v="E007"/>
    <x v="4"/>
    <n v="0.95454545454545459"/>
    <n v="0.93333333333333324"/>
    <n v="0"/>
    <n v="4.5454545454545456E-2"/>
    <n v="84043"/>
    <n v="0"/>
    <x v="1"/>
    <x v="0"/>
  </r>
  <r>
    <s v="E010"/>
    <x v="3"/>
    <n v="0.72727272727272729"/>
    <n v="0.93333333333333324"/>
    <n v="3.5714285714285712E-2"/>
    <n v="0.27272727272727271"/>
    <n v="45880"/>
    <n v="0"/>
    <x v="0"/>
    <x v="1"/>
  </r>
  <r>
    <s v="E027"/>
    <x v="2"/>
    <n v="0.72727272727272729"/>
    <n v="0.93333333333333324"/>
    <n v="0"/>
    <n v="0.27272727272727271"/>
    <n v="79553"/>
    <n v="0"/>
    <x v="0"/>
    <x v="3"/>
  </r>
  <r>
    <s v="E036"/>
    <x v="2"/>
    <n v="0.90909090909090906"/>
    <n v="0.93333333333333324"/>
    <n v="5.3571428571428568E-2"/>
    <n v="9.0909090909090912E-2"/>
    <n v="37560"/>
    <n v="0"/>
    <x v="2"/>
    <x v="3"/>
  </r>
  <r>
    <s v="E044"/>
    <x v="1"/>
    <n v="0.81818181818181823"/>
    <n v="0.93333333333333324"/>
    <n v="2.8571428571428571E-2"/>
    <n v="0.18181818181818182"/>
    <n v="77876"/>
    <n v="0"/>
    <x v="0"/>
    <x v="1"/>
  </r>
  <r>
    <s v="E046"/>
    <x v="2"/>
    <n v="1"/>
    <n v="0.93333333333333324"/>
    <n v="7.1428571428571425E-2"/>
    <n v="0"/>
    <n v="44020"/>
    <n v="0"/>
    <x v="1"/>
    <x v="3"/>
  </r>
  <r>
    <s v="E013"/>
    <x v="2"/>
    <n v="1"/>
    <n v="0.93150684931506844"/>
    <n v="2.9411764705882349E-2"/>
    <n v="0"/>
    <n v="89085"/>
    <n v="0"/>
    <x v="1"/>
    <x v="1"/>
  </r>
  <r>
    <s v="E046"/>
    <x v="3"/>
    <n v="0.86363636363636365"/>
    <n v="0.93150684931506844"/>
    <n v="2.9411764705882349E-2"/>
    <n v="0.13636363636363635"/>
    <n v="44020"/>
    <n v="0"/>
    <x v="0"/>
    <x v="3"/>
  </r>
  <r>
    <s v="E008"/>
    <x v="3"/>
    <n v="0.77272727272727271"/>
    <n v="0.93103448275862066"/>
    <n v="7.407407407407407E-2"/>
    <n v="0.22727272727272727"/>
    <n v="80699"/>
    <n v="0"/>
    <x v="0"/>
    <x v="3"/>
  </r>
  <r>
    <s v="E031"/>
    <x v="2"/>
    <n v="0.72727272727272729"/>
    <n v="0.93103448275862066"/>
    <n v="3.7037037037037035E-2"/>
    <n v="0.27272727272727271"/>
    <n v="52765"/>
    <n v="0"/>
    <x v="0"/>
    <x v="3"/>
  </r>
  <r>
    <s v="E034"/>
    <x v="1"/>
    <n v="0.95454545454545459"/>
    <n v="0.92982456140350878"/>
    <n v="0"/>
    <n v="4.5454545454545456E-2"/>
    <n v="83035"/>
    <n v="0"/>
    <x v="1"/>
    <x v="0"/>
  </r>
  <r>
    <s v="E040"/>
    <x v="1"/>
    <n v="0.81818181818181823"/>
    <n v="0.92957746478873238"/>
    <n v="1.5151515151515152E-2"/>
    <n v="0.18181818181818182"/>
    <n v="62782"/>
    <n v="0"/>
    <x v="0"/>
    <x v="1"/>
  </r>
  <r>
    <s v="E033"/>
    <x v="4"/>
    <n v="0.72727272727272729"/>
    <n v="0.9285714285714286"/>
    <n v="0"/>
    <n v="0.27272727272727271"/>
    <n v="54123"/>
    <n v="0"/>
    <x v="0"/>
    <x v="0"/>
  </r>
  <r>
    <s v="E037"/>
    <x v="4"/>
    <n v="0.81818181818181823"/>
    <n v="0.9285714285714286"/>
    <n v="4.6153846153846156E-2"/>
    <n v="0.18181818181818182"/>
    <n v="36399"/>
    <n v="0"/>
    <x v="0"/>
    <x v="2"/>
  </r>
  <r>
    <s v="E038"/>
    <x v="0"/>
    <n v="0.77272727272727271"/>
    <n v="0.9285714285714286"/>
    <n v="0"/>
    <n v="0.22727272727272727"/>
    <n v="35728"/>
    <n v="0"/>
    <x v="0"/>
    <x v="2"/>
  </r>
  <r>
    <s v="E043"/>
    <x v="3"/>
    <n v="0.90909090909090906"/>
    <n v="0.9285714285714286"/>
    <n v="5.7692307692307689E-2"/>
    <n v="9.0909090909090912E-2"/>
    <n v="46149"/>
    <n v="0"/>
    <x v="2"/>
    <x v="3"/>
  </r>
  <r>
    <s v="E010"/>
    <x v="1"/>
    <n v="0.72727272727272729"/>
    <n v="0.92771084337349397"/>
    <n v="5.1948051948051945E-2"/>
    <n v="0.27272727272727271"/>
    <n v="45880"/>
    <n v="0"/>
    <x v="0"/>
    <x v="1"/>
  </r>
  <r>
    <s v="E020"/>
    <x v="1"/>
    <n v="0.81818181818181823"/>
    <n v="0.92727272727272725"/>
    <n v="0"/>
    <n v="0.18181818181818182"/>
    <n v="75277"/>
    <n v="0"/>
    <x v="0"/>
    <x v="0"/>
  </r>
  <r>
    <s v="E021"/>
    <x v="0"/>
    <n v="0.86363636363636365"/>
    <n v="0.92727272727272725"/>
    <n v="9.8039215686274522E-2"/>
    <n v="0.13636363636363635"/>
    <n v="74159"/>
    <n v="0"/>
    <x v="0"/>
    <x v="0"/>
  </r>
  <r>
    <s v="E047"/>
    <x v="5"/>
    <n v="0.86363636363636365"/>
    <n v="0.92727272727272725"/>
    <n v="1.9607843137254902E-2"/>
    <n v="0.13636363636363635"/>
    <n v="82692"/>
    <n v="0"/>
    <x v="0"/>
    <x v="3"/>
  </r>
  <r>
    <s v="E005"/>
    <x v="2"/>
    <n v="0.90909090909090906"/>
    <n v="0.92682926829268297"/>
    <n v="3.9473684210526314E-2"/>
    <n v="9.0909090909090912E-2"/>
    <n v="42012"/>
    <n v="0"/>
    <x v="2"/>
    <x v="1"/>
  </r>
  <r>
    <s v="E024"/>
    <x v="1"/>
    <n v="0.77272727272727271"/>
    <n v="0.92682926829268297"/>
    <n v="6.5789473684210523E-2"/>
    <n v="0.22727272727272727"/>
    <n v="65366"/>
    <n v="0"/>
    <x v="0"/>
    <x v="2"/>
  </r>
  <r>
    <s v="E029"/>
    <x v="4"/>
    <n v="0.95454545454545459"/>
    <n v="0.92682926829268297"/>
    <n v="0.10526315789473684"/>
    <n v="4.5454545454545456E-2"/>
    <n v="71787"/>
    <n v="0"/>
    <x v="2"/>
    <x v="0"/>
  </r>
  <r>
    <s v="E041"/>
    <x v="0"/>
    <n v="0.77272727272727271"/>
    <n v="0.92682926829268297"/>
    <n v="0"/>
    <n v="0.22727272727272727"/>
    <n v="40435"/>
    <n v="0"/>
    <x v="0"/>
    <x v="1"/>
  </r>
  <r>
    <s v="E007"/>
    <x v="1"/>
    <n v="1"/>
    <n v="0.92647058823529416"/>
    <n v="6.3492063492063489E-2"/>
    <n v="0"/>
    <n v="84043"/>
    <n v="0"/>
    <x v="1"/>
    <x v="0"/>
  </r>
  <r>
    <s v="E007"/>
    <x v="0"/>
    <n v="0.81818181818181823"/>
    <n v="0.92647058823529416"/>
    <n v="4.7619047619047616E-2"/>
    <n v="0.18181818181818182"/>
    <n v="84043"/>
    <n v="0"/>
    <x v="0"/>
    <x v="0"/>
  </r>
  <r>
    <s v="E002"/>
    <x v="4"/>
    <n v="0.72727272727272729"/>
    <n v="0.92592592592592593"/>
    <n v="1.3333333333333334E-2"/>
    <n v="0.27272727272727271"/>
    <n v="66433"/>
    <n v="0"/>
    <x v="0"/>
    <x v="1"/>
  </r>
  <r>
    <s v="E017"/>
    <x v="0"/>
    <n v="0.72727272727272729"/>
    <n v="0.92592592592592593"/>
    <n v="0"/>
    <n v="0.27272727272727271"/>
    <n v="59857"/>
    <n v="0"/>
    <x v="0"/>
    <x v="2"/>
  </r>
  <r>
    <s v="E041"/>
    <x v="4"/>
    <n v="0.95454545454545459"/>
    <n v="0.92592592592592593"/>
    <n v="0.06"/>
    <n v="4.5454545454545456E-2"/>
    <n v="40435"/>
    <n v="0"/>
    <x v="1"/>
    <x v="1"/>
  </r>
  <r>
    <s v="E026"/>
    <x v="2"/>
    <n v="0.77272727272727271"/>
    <n v="0.9242424242424242"/>
    <n v="1.6393442622950821E-2"/>
    <n v="0.22727272727272727"/>
    <n v="61425"/>
    <n v="0"/>
    <x v="0"/>
    <x v="2"/>
  </r>
  <r>
    <s v="E011"/>
    <x v="2"/>
    <n v="0.72727272727272729"/>
    <n v="0.92307692307692302"/>
    <n v="8.3333333333333315E-2"/>
    <n v="0.27272727272727271"/>
    <n v="42493"/>
    <n v="0"/>
    <x v="0"/>
    <x v="3"/>
  </r>
  <r>
    <s v="E019"/>
    <x v="1"/>
    <n v="0.86363636363636365"/>
    <n v="0.92307692307692302"/>
    <n v="0.1388888888888889"/>
    <n v="0.13636363636363635"/>
    <n v="84504"/>
    <n v="0"/>
    <x v="0"/>
    <x v="2"/>
  </r>
  <r>
    <s v="E019"/>
    <x v="3"/>
    <n v="0.72727272727272729"/>
    <n v="0.92307692307692302"/>
    <n v="5.5555555555555552E-2"/>
    <n v="0.27272727272727271"/>
    <n v="84504"/>
    <n v="0"/>
    <x v="0"/>
    <x v="2"/>
  </r>
  <r>
    <s v="E031"/>
    <x v="5"/>
    <n v="0.81818181818181823"/>
    <n v="0.92307692307692302"/>
    <n v="0.05"/>
    <n v="0.18181818181818182"/>
    <n v="52765"/>
    <n v="0"/>
    <x v="0"/>
    <x v="3"/>
  </r>
  <r>
    <s v="E002"/>
    <x v="3"/>
    <n v="0.86363636363636365"/>
    <n v="0.92207792207792205"/>
    <n v="7.0422535211267609E-2"/>
    <n v="0.13636363636363635"/>
    <n v="66433"/>
    <n v="0"/>
    <x v="0"/>
    <x v="1"/>
  </r>
  <r>
    <s v="E017"/>
    <x v="5"/>
    <n v="0.90909090909090906"/>
    <n v="0.92207792207792205"/>
    <n v="5.6338028169014093E-2"/>
    <n v="9.0909090909090912E-2"/>
    <n v="59857"/>
    <n v="0"/>
    <x v="2"/>
    <x v="2"/>
  </r>
  <r>
    <s v="E050"/>
    <x v="2"/>
    <n v="1"/>
    <n v="0.92063492063492058"/>
    <n v="6.8965517241379309E-2"/>
    <n v="0"/>
    <n v="36280"/>
    <n v="0"/>
    <x v="1"/>
    <x v="0"/>
  </r>
  <r>
    <s v="E022"/>
    <x v="1"/>
    <n v="0.77272727272727271"/>
    <n v="0.91891891891891897"/>
    <n v="2.9411764705882349E-2"/>
    <n v="0.22727272727272727"/>
    <n v="68844"/>
    <n v="0"/>
    <x v="0"/>
    <x v="0"/>
  </r>
  <r>
    <s v="E025"/>
    <x v="2"/>
    <n v="0.86363636363636365"/>
    <n v="0.91891891891891897"/>
    <n v="5.8823529411764698E-2"/>
    <n v="0.13636363636363635"/>
    <n v="71628"/>
    <n v="0"/>
    <x v="0"/>
    <x v="2"/>
  </r>
  <r>
    <s v="E032"/>
    <x v="4"/>
    <n v="1"/>
    <n v="0.91891891891891897"/>
    <n v="1.4705882352941175E-2"/>
    <n v="0"/>
    <n v="80497"/>
    <n v="0"/>
    <x v="1"/>
    <x v="2"/>
  </r>
  <r>
    <s v="E015"/>
    <x v="2"/>
    <n v="0.81818181818181823"/>
    <n v="0.91780821917808231"/>
    <n v="7.4626865671641784E-2"/>
    <n v="0.18181818181818182"/>
    <n v="38287"/>
    <n v="0"/>
    <x v="0"/>
    <x v="1"/>
  </r>
  <r>
    <s v="E016"/>
    <x v="5"/>
    <n v="0.81818181818181823"/>
    <n v="0.9152542372881356"/>
    <n v="5.5555555555555552E-2"/>
    <n v="0.18181818181818182"/>
    <n v="61034"/>
    <n v="0"/>
    <x v="0"/>
    <x v="2"/>
  </r>
  <r>
    <s v="E021"/>
    <x v="5"/>
    <n v="0.86363636363636365"/>
    <n v="0.9152542372881356"/>
    <n v="3.7037037037037035E-2"/>
    <n v="0.13636363636363635"/>
    <n v="74159"/>
    <n v="0"/>
    <x v="0"/>
    <x v="0"/>
  </r>
  <r>
    <s v="E039"/>
    <x v="1"/>
    <n v="0.90909090909090906"/>
    <n v="0.9152542372881356"/>
    <n v="0"/>
    <n v="9.0909090909090912E-2"/>
    <n v="57209"/>
    <n v="0"/>
    <x v="2"/>
    <x v="3"/>
  </r>
  <r>
    <s v="E026"/>
    <x v="5"/>
    <n v="0.77272727272727271"/>
    <n v="0.91304347826086951"/>
    <n v="2.3809523809523808E-2"/>
    <n v="0.22727272727272727"/>
    <n v="61425"/>
    <n v="0"/>
    <x v="0"/>
    <x v="2"/>
  </r>
  <r>
    <s v="E034"/>
    <x v="5"/>
    <n v="0.86363636363636365"/>
    <n v="0.91304347826086951"/>
    <n v="1.5873015873015872E-2"/>
    <n v="0.13636363636363635"/>
    <n v="83035"/>
    <n v="0"/>
    <x v="0"/>
    <x v="0"/>
  </r>
  <r>
    <s v="E003"/>
    <x v="2"/>
    <n v="0.77272727272727271"/>
    <n v="0.91228070175438591"/>
    <n v="5.7692307692307689E-2"/>
    <n v="0.22727272727272727"/>
    <n v="49957"/>
    <n v="0"/>
    <x v="0"/>
    <x v="0"/>
  </r>
  <r>
    <s v="E037"/>
    <x v="2"/>
    <n v="0.72727272727272729"/>
    <n v="0.91228070175438591"/>
    <n v="0"/>
    <n v="0.27272727272727271"/>
    <n v="36399"/>
    <n v="0"/>
    <x v="0"/>
    <x v="2"/>
  </r>
  <r>
    <s v="E036"/>
    <x v="4"/>
    <n v="0.86363636363636365"/>
    <n v="0.91176470588235292"/>
    <n v="0.12903225806451613"/>
    <n v="0.13636363636363635"/>
    <n v="37560"/>
    <n v="0"/>
    <x v="0"/>
    <x v="3"/>
  </r>
  <r>
    <s v="E047"/>
    <x v="4"/>
    <n v="0.81818181818181823"/>
    <n v="0.91044776119402981"/>
    <n v="6.5573770491803282E-2"/>
    <n v="0.18181818181818182"/>
    <n v="82692"/>
    <n v="0"/>
    <x v="0"/>
    <x v="3"/>
  </r>
  <r>
    <s v="E006"/>
    <x v="5"/>
    <n v="1"/>
    <n v="0.90909090909090906"/>
    <n v="0.13333333333333333"/>
    <n v="0"/>
    <n v="37736"/>
    <n v="0"/>
    <x v="2"/>
    <x v="2"/>
  </r>
  <r>
    <s v="E025"/>
    <x v="0"/>
    <n v="0.77272727272727271"/>
    <n v="0.90909090909090906"/>
    <n v="3.3333333333333333E-2"/>
    <n v="0.22727272727272727"/>
    <n v="71628"/>
    <n v="0"/>
    <x v="0"/>
    <x v="2"/>
  </r>
  <r>
    <s v="E027"/>
    <x v="0"/>
    <n v="0.72727272727272729"/>
    <n v="0.90769230769230769"/>
    <n v="0"/>
    <n v="0.27272727272727271"/>
    <n v="79553"/>
    <n v="0"/>
    <x v="0"/>
    <x v="3"/>
  </r>
  <r>
    <s v="E028"/>
    <x v="5"/>
    <n v="0.95454545454545459"/>
    <n v="0.90697674418604646"/>
    <n v="0.12820512820512819"/>
    <n v="4.5454545454545456E-2"/>
    <n v="89427"/>
    <n v="0"/>
    <x v="2"/>
    <x v="1"/>
  </r>
  <r>
    <s v="E039"/>
    <x v="3"/>
    <n v="1"/>
    <n v="0.90625"/>
    <n v="5.1724137931034482E-2"/>
    <n v="0"/>
    <n v="57209"/>
    <n v="0"/>
    <x v="1"/>
    <x v="3"/>
  </r>
  <r>
    <s v="E008"/>
    <x v="2"/>
    <n v="0.95454545454545459"/>
    <n v="0.90476190476190477"/>
    <n v="7.8947368421052627E-2"/>
    <n v="4.5454545454545456E-2"/>
    <n v="80699"/>
    <n v="0"/>
    <x v="1"/>
    <x v="3"/>
  </r>
  <r>
    <s v="E023"/>
    <x v="4"/>
    <n v="0.95454545454545459"/>
    <n v="0.90476190476190477"/>
    <n v="0.10526315789473684"/>
    <n v="4.5454545454545456E-2"/>
    <n v="52195"/>
    <n v="0"/>
    <x v="2"/>
    <x v="0"/>
  </r>
  <r>
    <s v="E027"/>
    <x v="3"/>
    <n v="0.90909090909090906"/>
    <n v="0.90163934426229497"/>
    <n v="3.6363636363636362E-2"/>
    <n v="9.0909090909090912E-2"/>
    <n v="79553"/>
    <n v="0"/>
    <x v="2"/>
    <x v="3"/>
  </r>
  <r>
    <s v="E001"/>
    <x v="2"/>
    <n v="0.95454545454545459"/>
    <n v="0.9"/>
    <n v="0.1388888888888889"/>
    <n v="4.5454545454545456E-2"/>
    <n v="55448"/>
    <n v="0"/>
    <x v="2"/>
    <x v="0"/>
  </r>
  <r>
    <s v="E019"/>
    <x v="4"/>
    <n v="0.90909090909090906"/>
    <n v="0.89795918367346939"/>
    <n v="4.5454545454545456E-2"/>
    <n v="9.0909090909090912E-2"/>
    <n v="84504"/>
    <n v="1724.5714285713966"/>
    <x v="2"/>
    <x v="2"/>
  </r>
  <r>
    <s v="E033"/>
    <x v="2"/>
    <n v="0.72727272727272729"/>
    <n v="0.89795918367346939"/>
    <n v="9.0909090909090912E-2"/>
    <n v="0.27272727272727271"/>
    <n v="54123"/>
    <n v="1104.5510204081429"/>
    <x v="0"/>
    <x v="0"/>
  </r>
  <r>
    <s v="E005"/>
    <x v="5"/>
    <n v="0.77272727272727271"/>
    <n v="0.89743589743589747"/>
    <n v="0.11428571428571428"/>
    <n v="0.22727272727272727"/>
    <n v="42012"/>
    <n v="1077.2307692307354"/>
    <x v="0"/>
    <x v="1"/>
  </r>
  <r>
    <s v="E014"/>
    <x v="2"/>
    <n v="0.86363636363636365"/>
    <n v="0.89655172413793105"/>
    <n v="1.9230769230769232E-2"/>
    <n v="0.13636363636363635"/>
    <n v="41091"/>
    <n v="1416.9310344827306"/>
    <x v="0"/>
    <x v="0"/>
  </r>
  <r>
    <s v="E042"/>
    <x v="5"/>
    <n v="0.72727272727272729"/>
    <n v="0.89655172413793105"/>
    <n v="1.9230769230769232E-2"/>
    <n v="0.27272727272727271"/>
    <n v="58061"/>
    <n v="2002.1034482758223"/>
    <x v="0"/>
    <x v="3"/>
  </r>
  <r>
    <s v="E027"/>
    <x v="1"/>
    <n v="1"/>
    <n v="0.89583333333333348"/>
    <n v="0"/>
    <n v="0"/>
    <n v="79553"/>
    <n v="3314.708333333258"/>
    <x v="2"/>
    <x v="3"/>
  </r>
  <r>
    <s v="E047"/>
    <x v="2"/>
    <n v="0.72727272727272729"/>
    <n v="0.89583333333333348"/>
    <n v="4.6511627906976744E-2"/>
    <n v="0.27272727272727271"/>
    <n v="82692"/>
    <n v="3445.4999999999218"/>
    <x v="0"/>
    <x v="3"/>
  </r>
  <r>
    <s v="E037"/>
    <x v="3"/>
    <n v="0.90909090909090906"/>
    <n v="0.89473684210526316"/>
    <n v="3.9215686274509803E-2"/>
    <n v="9.0909090909090912E-2"/>
    <n v="36399"/>
    <n v="1915.7368421052659"/>
    <x v="2"/>
    <x v="2"/>
  </r>
  <r>
    <s v="E004"/>
    <x v="2"/>
    <n v="0.81818181818181823"/>
    <n v="0.8936170212765957"/>
    <n v="0"/>
    <n v="0.18181818181818182"/>
    <n v="38396"/>
    <n v="2450.8085106383178"/>
    <x v="0"/>
    <x v="3"/>
  </r>
  <r>
    <s v="E026"/>
    <x v="1"/>
    <n v="0.72727272727272729"/>
    <n v="0.8936170212765957"/>
    <n v="2.3809523809523808E-2"/>
    <n v="0.27272727272727271"/>
    <n v="61425"/>
    <n v="3920.7446808510954"/>
    <x v="0"/>
    <x v="2"/>
  </r>
  <r>
    <s v="E043"/>
    <x v="1"/>
    <n v="0.81818181818181823"/>
    <n v="0.8936170212765957"/>
    <n v="7.1428571428571425E-2"/>
    <n v="0.18181818181818182"/>
    <n v="46149"/>
    <n v="2945.6808510638534"/>
    <x v="0"/>
    <x v="3"/>
  </r>
  <r>
    <s v="E038"/>
    <x v="1"/>
    <n v="0.95454545454545459"/>
    <n v="0.8928571428571429"/>
    <n v="0.1"/>
    <n v="4.5454545454545456E-2"/>
    <n v="35728"/>
    <n v="2551.9999999999782"/>
    <x v="2"/>
    <x v="2"/>
  </r>
  <r>
    <s v="E008"/>
    <x v="1"/>
    <n v="0.72727272727272729"/>
    <n v="0.89189189189189189"/>
    <n v="0"/>
    <n v="0.27272727272727271"/>
    <n v="80699"/>
    <n v="6543.1621621621307"/>
    <x v="0"/>
    <x v="3"/>
  </r>
  <r>
    <s v="E008"/>
    <x v="0"/>
    <n v="0.90909090909090906"/>
    <n v="0.89130434782608692"/>
    <n v="7.3170731707317069E-2"/>
    <n v="9.0909090909090912E-2"/>
    <n v="80699"/>
    <n v="7017.3043478261461"/>
    <x v="2"/>
    <x v="3"/>
  </r>
  <r>
    <s v="E032"/>
    <x v="5"/>
    <n v="0.77272727272727271"/>
    <n v="0.89130434782608692"/>
    <n v="0"/>
    <n v="0.22727272727272727"/>
    <n v="80497"/>
    <n v="6999.7391304348421"/>
    <x v="0"/>
    <x v="2"/>
  </r>
  <r>
    <s v="E037"/>
    <x v="1"/>
    <n v="0.81818181818181823"/>
    <n v="0.89090909090909098"/>
    <n v="0"/>
    <n v="0.18181818181818182"/>
    <n v="36399"/>
    <n v="3308.9999999999909"/>
    <x v="0"/>
    <x v="2"/>
  </r>
  <r>
    <s v="E013"/>
    <x v="3"/>
    <n v="0.95454545454545459"/>
    <n v="0.88888888888888884"/>
    <n v="0.10416666666666669"/>
    <n v="4.5454545454545456E-2"/>
    <n v="89085"/>
    <n v="9898.3333333333612"/>
    <x v="2"/>
    <x v="1"/>
  </r>
  <r>
    <s v="E032"/>
    <x v="2"/>
    <n v="1"/>
    <n v="0.88888888888888884"/>
    <n v="9.375E-2"/>
    <n v="0"/>
    <n v="80497"/>
    <n v="8944.1111111111368"/>
    <x v="2"/>
    <x v="2"/>
  </r>
  <r>
    <s v="E015"/>
    <x v="1"/>
    <n v="0.77272727272727271"/>
    <n v="0.88636363636363635"/>
    <n v="5.128205128205128E-2"/>
    <n v="0.22727272727272727"/>
    <n v="38287"/>
    <n v="5220.9545454545296"/>
    <x v="0"/>
    <x v="1"/>
  </r>
  <r>
    <s v="E044"/>
    <x v="0"/>
    <n v="0.77272727272727271"/>
    <n v="0.88571428571428568"/>
    <n v="0.12903225806451613"/>
    <n v="0.22727272727272727"/>
    <n v="77876"/>
    <n v="11125.142857142873"/>
    <x v="0"/>
    <x v="1"/>
  </r>
  <r>
    <s v="E014"/>
    <x v="3"/>
    <n v="0.90909090909090906"/>
    <n v="0.88461538461538458"/>
    <n v="0"/>
    <n v="9.0909090909090912E-2"/>
    <n v="41091"/>
    <n v="6321.6923076923431"/>
    <x v="2"/>
    <x v="0"/>
  </r>
  <r>
    <s v="E050"/>
    <x v="3"/>
    <n v="0.86363636363636365"/>
    <n v="0.88461538461538458"/>
    <n v="4.3478260869565216E-2"/>
    <n v="0.13636363636363635"/>
    <n v="36280"/>
    <n v="5581.5384615384928"/>
    <x v="0"/>
    <x v="0"/>
  </r>
  <r>
    <s v="E006"/>
    <x v="0"/>
    <n v="1"/>
    <n v="0.88372093023255816"/>
    <n v="5.2631578947368418E-2"/>
    <n v="0"/>
    <n v="37736"/>
    <n v="6143.0697674418579"/>
    <x v="2"/>
    <x v="2"/>
  </r>
  <r>
    <s v="E043"/>
    <x v="2"/>
    <n v="0.81818181818181823"/>
    <n v="0.88235294117647056"/>
    <n v="0.16666666666666663"/>
    <n v="0.18181818181818182"/>
    <n v="46149"/>
    <n v="8143.941176470591"/>
    <x v="0"/>
    <x v="3"/>
  </r>
  <r>
    <s v="E011"/>
    <x v="1"/>
    <n v="0.72727272727272729"/>
    <n v="0.875"/>
    <n v="4.7619047619047616E-2"/>
    <n v="0.27272727272727271"/>
    <n v="42493"/>
    <n v="10623.25"/>
    <x v="0"/>
    <x v="3"/>
  </r>
  <r>
    <s v="E033"/>
    <x v="0"/>
    <n v="0.95454545454545459"/>
    <n v="0.875"/>
    <n v="0.10714285714285714"/>
    <n v="4.5454545454545456E-2"/>
    <n v="54123"/>
    <n v="13530.750000000002"/>
    <x v="2"/>
    <x v="0"/>
  </r>
  <r>
    <s v="E042"/>
    <x v="0"/>
    <n v="0.86363636363636365"/>
    <n v="0.875"/>
    <n v="2.8571428571428571E-2"/>
    <n v="0.13636363636363635"/>
    <n v="58061"/>
    <n v="14515.250000000002"/>
    <x v="0"/>
    <x v="3"/>
  </r>
  <r>
    <s v="E042"/>
    <x v="2"/>
    <n v="1"/>
    <n v="0.875"/>
    <n v="0.11904761904761903"/>
    <n v="0"/>
    <n v="58061"/>
    <n v="14515.250000000002"/>
    <x v="2"/>
    <x v="3"/>
  </r>
  <r>
    <s v="E001"/>
    <x v="1"/>
    <n v="0.81818181818181823"/>
    <n v="0.87179487179487181"/>
    <n v="8.8235294117647065E-2"/>
    <n v="0.18181818181818182"/>
    <n v="55448"/>
    <n v="15639.179487179468"/>
    <x v="0"/>
    <x v="0"/>
  </r>
  <r>
    <s v="E004"/>
    <x v="0"/>
    <n v="0.95454545454545459"/>
    <n v="0.87179487179487181"/>
    <n v="8.8235294117647065E-2"/>
    <n v="4.5454545454545456E-2"/>
    <n v="38396"/>
    <n v="10829.641025641014"/>
    <x v="2"/>
    <x v="3"/>
  </r>
  <r>
    <s v="E035"/>
    <x v="3"/>
    <n v="0.86363636363636365"/>
    <n v="0.87179487179487181"/>
    <n v="2.9411764705882349E-2"/>
    <n v="0.13636363636363635"/>
    <n v="86706"/>
    <n v="24455.538461538436"/>
    <x v="0"/>
    <x v="0"/>
  </r>
  <r>
    <s v="E011"/>
    <x v="4"/>
    <n v="0.86363636363636365"/>
    <n v="0.87096774193548387"/>
    <n v="0.14814814814814814"/>
    <n v="0.13636363636363635"/>
    <n v="42493"/>
    <n v="12336.677419354852"/>
    <x v="0"/>
    <x v="3"/>
  </r>
  <r>
    <s v="E034"/>
    <x v="3"/>
    <n v="0.90909090909090906"/>
    <n v="0.87096774193548387"/>
    <n v="7.407407407407407E-2"/>
    <n v="9.0909090909090912E-2"/>
    <n v="83035"/>
    <n v="24106.935483870988"/>
    <x v="2"/>
    <x v="0"/>
  </r>
  <r>
    <s v="E027"/>
    <x v="4"/>
    <n v="1"/>
    <n v="0.8666666666666667"/>
    <n v="0.11538461538461538"/>
    <n v="0"/>
    <n v="79553"/>
    <n v="26517.666666666628"/>
    <x v="2"/>
    <x v="3"/>
  </r>
  <r>
    <s v="E030"/>
    <x v="2"/>
    <n v="0.81818181818181823"/>
    <n v="0.86363636363636365"/>
    <n v="0.13157894736842105"/>
    <n v="0.18181818181818182"/>
    <n v="55298"/>
    <n v="20108.363636363658"/>
    <x v="0"/>
    <x v="2"/>
  </r>
  <r>
    <s v="E003"/>
    <x v="0"/>
    <n v="0.90909090909090906"/>
    <n v="0.86111111111111116"/>
    <n v="6.4516129032258063E-2"/>
    <n v="9.0909090909090912E-2"/>
    <n v="49957"/>
    <n v="19427.722222222208"/>
    <x v="2"/>
    <x v="0"/>
  </r>
  <r>
    <s v="E024"/>
    <x v="0"/>
    <n v="0.77272727272727271"/>
    <n v="0.86046511627906985"/>
    <n v="2.7027027027027025E-2"/>
    <n v="0.22727272727272727"/>
    <n v="65366"/>
    <n v="25842.372093023234"/>
    <x v="0"/>
    <x v="2"/>
  </r>
  <r>
    <s v="E038"/>
    <x v="5"/>
    <n v="1"/>
    <n v="0.86046511627906985"/>
    <n v="0.13513513513513514"/>
    <n v="0"/>
    <n v="35728"/>
    <n v="14125.02325581394"/>
    <x v="2"/>
    <x v="2"/>
  </r>
  <r>
    <s v="E048"/>
    <x v="0"/>
    <n v="0.90909090909090906"/>
    <n v="0.86046511627906985"/>
    <n v="5.405405405405405E-2"/>
    <n v="9.0909090909090912E-2"/>
    <n v="39915"/>
    <n v="15780.348837209291"/>
    <x v="2"/>
    <x v="0"/>
  </r>
  <r>
    <s v="E016"/>
    <x v="1"/>
    <n v="1"/>
    <n v="0.8571428571428571"/>
    <n v="5.5555555555555552E-2"/>
    <n v="0"/>
    <n v="61034"/>
    <n v="26157.428571428609"/>
    <x v="2"/>
    <x v="2"/>
  </r>
  <r>
    <s v="E021"/>
    <x v="3"/>
    <n v="0.90909090909090906"/>
    <n v="0.8571428571428571"/>
    <n v="2.7777777777777776E-2"/>
    <n v="9.0909090909090912E-2"/>
    <n v="74159"/>
    <n v="31782.428571428612"/>
    <x v="2"/>
    <x v="0"/>
  </r>
  <r>
    <s v="E036"/>
    <x v="1"/>
    <n v="0.77272727272727271"/>
    <n v="0.8571428571428571"/>
    <n v="2.7777777777777776E-2"/>
    <n v="0.22727272727272727"/>
    <n v="37560"/>
    <n v="16097.142857142881"/>
    <x v="0"/>
    <x v="3"/>
  </r>
  <r>
    <s v="E003"/>
    <x v="4"/>
    <n v="0.77272727272727271"/>
    <n v="0.85294117647058831"/>
    <n v="0.13793103448275862"/>
    <n v="0.22727272727272727"/>
    <n v="49957"/>
    <n v="23509.176470588223"/>
    <x v="0"/>
    <x v="0"/>
  </r>
  <r>
    <s v="E031"/>
    <x v="4"/>
    <n v="0.95454545454545459"/>
    <n v="0.85294117647058831"/>
    <n v="0.13793103448275862"/>
    <n v="4.5454545454545456E-2"/>
    <n v="52765"/>
    <n v="24830.588235294108"/>
    <x v="2"/>
    <x v="3"/>
  </r>
  <r>
    <s v="E018"/>
    <x v="5"/>
    <n v="0.95454545454545459"/>
    <n v="0.85"/>
    <n v="2.9411764705882349E-2"/>
    <n v="4.5454545454545456E-2"/>
    <n v="37716"/>
    <n v="18858"/>
    <x v="2"/>
    <x v="3"/>
  </r>
  <r>
    <s v="E044"/>
    <x v="2"/>
    <n v="0.86363636363636365"/>
    <n v="0.83870967741935487"/>
    <n v="3.8461538461538464E-2"/>
    <n v="0.13636363636363635"/>
    <n v="77876"/>
    <n v="47730.451612903198"/>
    <x v="0"/>
    <x v="1"/>
  </r>
  <r>
    <s v="E049"/>
    <x v="1"/>
    <n v="1"/>
    <n v="0.83333333333333348"/>
    <n v="0.13333333333333333"/>
    <n v="0"/>
    <n v="59133"/>
    <n v="39421.999999999942"/>
    <x v="0"/>
    <x v="0"/>
  </r>
  <r>
    <s v="E014"/>
    <x v="4"/>
    <n v="0.90909090909090906"/>
    <n v="0.82857142857142863"/>
    <n v="0.17241379310344829"/>
    <n v="9.0909090909090912E-2"/>
    <n v="41091"/>
    <n v="29350.714285714264"/>
    <x v="0"/>
    <x v="0"/>
  </r>
  <r>
    <s v="E030"/>
    <x v="1"/>
    <n v="0.86363636363636365"/>
    <n v="0.82857142857142863"/>
    <n v="0.17241379310344829"/>
    <n v="0.13636363636363635"/>
    <n v="55298"/>
    <n v="39498.571428571413"/>
    <x v="0"/>
    <x v="2"/>
  </r>
  <r>
    <s v="E049"/>
    <x v="2"/>
    <n v="0.90909090909090906"/>
    <n v="0.8125"/>
    <n v="0"/>
    <n v="9.0909090909090912E-2"/>
    <n v="59133"/>
    <n v="51741.375"/>
    <x v="0"/>
    <x v="0"/>
  </r>
  <r>
    <s v="E038"/>
    <x v="3"/>
    <n v="0.86363636363636365"/>
    <n v="0.80645161290322576"/>
    <n v="0.12"/>
    <n v="0.13636363636363635"/>
    <n v="35728"/>
    <n v="33422.967741935492"/>
    <x v="0"/>
    <x v="2"/>
  </r>
  <r>
    <s v="E040"/>
    <x v="2"/>
    <n v="0.77272727272727271"/>
    <n v="0.80645161290322576"/>
    <n v="0.2"/>
    <n v="0.22727272727272727"/>
    <n v="62782"/>
    <n v="58731.548387096802"/>
    <x v="0"/>
    <x v="1"/>
  </r>
  <r>
    <s v="E044"/>
    <x v="3"/>
    <n v="0.72727272727272729"/>
    <n v="0.80645161290322576"/>
    <n v="0.08"/>
    <n v="0.27272727272727271"/>
    <n v="77876"/>
    <n v="72851.741935483908"/>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0.72727272727272729"/>
    <n v="1"/>
    <n v="0"/>
    <n v="0.27272727272727271"/>
    <n v="55448"/>
    <n v="0"/>
    <x v="0"/>
    <x v="0"/>
  </r>
  <r>
    <x v="1"/>
    <x v="1"/>
    <n v="0.81818181818181823"/>
    <n v="1"/>
    <n v="5.7692307692307689E-2"/>
    <n v="0.18181818181818182"/>
    <n v="66433"/>
    <n v="0"/>
    <x v="0"/>
    <x v="1"/>
  </r>
  <r>
    <x v="1"/>
    <x v="2"/>
    <n v="0.81818181818181823"/>
    <n v="1"/>
    <n v="0"/>
    <n v="0.18181818181818182"/>
    <n v="66433"/>
    <n v="0"/>
    <x v="0"/>
    <x v="1"/>
  </r>
  <r>
    <x v="2"/>
    <x v="1"/>
    <n v="0.81818181818181823"/>
    <n v="1"/>
    <n v="0"/>
    <n v="0.18181818181818182"/>
    <n v="42012"/>
    <n v="0"/>
    <x v="0"/>
    <x v="1"/>
  </r>
  <r>
    <x v="3"/>
    <x v="3"/>
    <n v="0.72727272727272729"/>
    <n v="1"/>
    <n v="0"/>
    <n v="0.27272727272727271"/>
    <n v="37736"/>
    <n v="0"/>
    <x v="0"/>
    <x v="2"/>
  </r>
  <r>
    <x v="3"/>
    <x v="2"/>
    <n v="0.95454545454545459"/>
    <n v="1"/>
    <n v="5.8823529411764698E-2"/>
    <n v="4.5454545454545456E-2"/>
    <n v="37736"/>
    <n v="0"/>
    <x v="1"/>
    <x v="2"/>
  </r>
  <r>
    <x v="4"/>
    <x v="4"/>
    <n v="0.72727272727272729"/>
    <n v="1"/>
    <n v="0"/>
    <n v="0.27272727272727271"/>
    <n v="46257"/>
    <n v="0"/>
    <x v="0"/>
    <x v="0"/>
  </r>
  <r>
    <x v="5"/>
    <x v="5"/>
    <n v="0.95454545454545459"/>
    <n v="1"/>
    <n v="0"/>
    <n v="4.5454545454545456E-2"/>
    <n v="42493"/>
    <n v="0"/>
    <x v="1"/>
    <x v="3"/>
  </r>
  <r>
    <x v="5"/>
    <x v="3"/>
    <n v="0.72727272727272729"/>
    <n v="1"/>
    <n v="1.6393442622950821E-2"/>
    <n v="0.27272727272727271"/>
    <n v="42493"/>
    <n v="0"/>
    <x v="0"/>
    <x v="3"/>
  </r>
  <r>
    <x v="6"/>
    <x v="1"/>
    <n v="0.81818181818181823"/>
    <n v="1"/>
    <n v="5.8823529411764698E-2"/>
    <n v="0.18181818181818182"/>
    <n v="36447"/>
    <n v="0"/>
    <x v="0"/>
    <x v="3"/>
  </r>
  <r>
    <x v="6"/>
    <x v="5"/>
    <n v="0.81818181818181823"/>
    <n v="1"/>
    <n v="0"/>
    <n v="0.18181818181818182"/>
    <n v="36447"/>
    <n v="0"/>
    <x v="0"/>
    <x v="3"/>
  </r>
  <r>
    <x v="7"/>
    <x v="5"/>
    <n v="0.86363636363636365"/>
    <n v="1"/>
    <n v="1.2048192771084338E-2"/>
    <n v="0.13636363636363635"/>
    <n v="89085"/>
    <n v="0"/>
    <x v="0"/>
    <x v="1"/>
  </r>
  <r>
    <x v="8"/>
    <x v="1"/>
    <n v="0.86363636363636365"/>
    <n v="1"/>
    <n v="1.282051282051282E-2"/>
    <n v="0.13636363636363635"/>
    <n v="41091"/>
    <n v="0"/>
    <x v="0"/>
    <x v="0"/>
  </r>
  <r>
    <x v="9"/>
    <x v="0"/>
    <n v="0.90909090909090906"/>
    <n v="1"/>
    <n v="0"/>
    <n v="9.0909090909090912E-2"/>
    <n v="38287"/>
    <n v="0"/>
    <x v="2"/>
    <x v="1"/>
  </r>
  <r>
    <x v="9"/>
    <x v="3"/>
    <n v="0.81818181818181823"/>
    <n v="1"/>
    <n v="5.5555555555555552E-2"/>
    <n v="0.18181818181818182"/>
    <n v="38287"/>
    <n v="0"/>
    <x v="0"/>
    <x v="1"/>
  </r>
  <r>
    <x v="9"/>
    <x v="4"/>
    <n v="0.72727272727272729"/>
    <n v="1"/>
    <n v="0.13513513513513514"/>
    <n v="0.27272727272727271"/>
    <n v="38287"/>
    <n v="0"/>
    <x v="0"/>
    <x v="1"/>
  </r>
  <r>
    <x v="10"/>
    <x v="1"/>
    <n v="0.86363636363636365"/>
    <n v="1"/>
    <n v="0.12820512820512819"/>
    <n v="0.13636363636363635"/>
    <n v="59857"/>
    <n v="0"/>
    <x v="0"/>
    <x v="2"/>
  </r>
  <r>
    <x v="10"/>
    <x v="3"/>
    <n v="0.81818181818181823"/>
    <n v="1"/>
    <n v="7.6923076923076927E-2"/>
    <n v="0.18181818181818182"/>
    <n v="59857"/>
    <n v="0"/>
    <x v="0"/>
    <x v="2"/>
  </r>
  <r>
    <x v="11"/>
    <x v="5"/>
    <n v="0.77272727272727271"/>
    <n v="1"/>
    <n v="1.5625E-2"/>
    <n v="0.22727272727272727"/>
    <n v="75277"/>
    <n v="0"/>
    <x v="0"/>
    <x v="0"/>
  </r>
  <r>
    <x v="12"/>
    <x v="4"/>
    <n v="0.86363636363636365"/>
    <n v="1"/>
    <n v="7.5471698113207544E-2"/>
    <n v="0.13636363636363635"/>
    <n v="74159"/>
    <n v="0"/>
    <x v="0"/>
    <x v="0"/>
  </r>
  <r>
    <x v="12"/>
    <x v="2"/>
    <n v="0.72727272727272729"/>
    <n v="1"/>
    <n v="0.11627906976744186"/>
    <n v="0.27272727272727271"/>
    <n v="74159"/>
    <n v="0"/>
    <x v="0"/>
    <x v="0"/>
  </r>
  <r>
    <x v="13"/>
    <x v="0"/>
    <n v="0.95454545454545459"/>
    <n v="1"/>
    <n v="0"/>
    <n v="4.5454545454545456E-2"/>
    <n v="68844"/>
    <n v="0"/>
    <x v="1"/>
    <x v="0"/>
  </r>
  <r>
    <x v="14"/>
    <x v="5"/>
    <n v="1"/>
    <n v="1"/>
    <n v="6.0606060606060608E-2"/>
    <n v="0"/>
    <n v="65366"/>
    <n v="0"/>
    <x v="1"/>
    <x v="2"/>
  </r>
  <r>
    <x v="15"/>
    <x v="4"/>
    <n v="0.86363636363636365"/>
    <n v="1"/>
    <n v="3.5714285714285712E-2"/>
    <n v="0.13636363636363635"/>
    <n v="71628"/>
    <n v="0"/>
    <x v="0"/>
    <x v="2"/>
  </r>
  <r>
    <x v="16"/>
    <x v="3"/>
    <n v="0.95454545454545459"/>
    <n v="1"/>
    <n v="0"/>
    <n v="4.5454545454545456E-2"/>
    <n v="61425"/>
    <n v="0"/>
    <x v="1"/>
    <x v="2"/>
  </r>
  <r>
    <x v="16"/>
    <x v="4"/>
    <n v="0.77272727272727271"/>
    <n v="1"/>
    <n v="5.1724137931034482E-2"/>
    <n v="0.22727272727272727"/>
    <n v="61425"/>
    <n v="0"/>
    <x v="0"/>
    <x v="2"/>
  </r>
  <r>
    <x v="17"/>
    <x v="5"/>
    <n v="0.81818181818181823"/>
    <n v="1"/>
    <n v="6.1728395061728392E-2"/>
    <n v="0.18181818181818182"/>
    <n v="79553"/>
    <n v="0"/>
    <x v="0"/>
    <x v="3"/>
  </r>
  <r>
    <x v="18"/>
    <x v="0"/>
    <n v="0.90909090909090906"/>
    <n v="1"/>
    <n v="9.0909090909090912E-2"/>
    <n v="9.0909090909090912E-2"/>
    <n v="89427"/>
    <n v="0"/>
    <x v="2"/>
    <x v="1"/>
  </r>
  <r>
    <x v="18"/>
    <x v="3"/>
    <n v="0.77272727272727271"/>
    <n v="1"/>
    <n v="0"/>
    <n v="0.22727272727272727"/>
    <n v="89427"/>
    <n v="0"/>
    <x v="0"/>
    <x v="1"/>
  </r>
  <r>
    <x v="19"/>
    <x v="3"/>
    <n v="0.95454545454545459"/>
    <n v="1"/>
    <n v="1.8867924528301886E-2"/>
    <n v="4.5454545454545456E-2"/>
    <n v="55298"/>
    <n v="0"/>
    <x v="1"/>
    <x v="2"/>
  </r>
  <r>
    <x v="20"/>
    <x v="1"/>
    <n v="0.72727272727272729"/>
    <n v="1"/>
    <n v="5.8823529411764698E-2"/>
    <n v="0.27272727272727271"/>
    <n v="80497"/>
    <n v="0"/>
    <x v="0"/>
    <x v="2"/>
  </r>
  <r>
    <x v="21"/>
    <x v="3"/>
    <n v="0.77272727272727271"/>
    <n v="1"/>
    <n v="5.2631578947368418E-2"/>
    <n v="0.22727272727272727"/>
    <n v="54123"/>
    <n v="0"/>
    <x v="0"/>
    <x v="0"/>
  </r>
  <r>
    <x v="22"/>
    <x v="0"/>
    <n v="0.77272727272727271"/>
    <n v="1"/>
    <n v="0.10526315789473684"/>
    <n v="0.22727272727272727"/>
    <n v="83035"/>
    <n v="0"/>
    <x v="0"/>
    <x v="0"/>
  </r>
  <r>
    <x v="23"/>
    <x v="3"/>
    <n v="0.77272727272727271"/>
    <n v="1"/>
    <n v="0"/>
    <n v="0.22727272727272727"/>
    <n v="37560"/>
    <n v="0"/>
    <x v="0"/>
    <x v="3"/>
  </r>
  <r>
    <x v="24"/>
    <x v="5"/>
    <n v="0.86363636363636365"/>
    <n v="1"/>
    <n v="5.3571428571428568E-2"/>
    <n v="0.13636363636363635"/>
    <n v="36399"/>
    <n v="0"/>
    <x v="0"/>
    <x v="2"/>
  </r>
  <r>
    <x v="25"/>
    <x v="3"/>
    <n v="0.72727272727272729"/>
    <n v="1"/>
    <n v="1.1904761904761904E-2"/>
    <n v="0.27272727272727271"/>
    <n v="40435"/>
    <n v="0"/>
    <x v="0"/>
    <x v="1"/>
  </r>
  <r>
    <x v="26"/>
    <x v="4"/>
    <n v="0.81818181818181823"/>
    <n v="1"/>
    <n v="6.9444444444444448E-2"/>
    <n v="0.18181818181818182"/>
    <n v="58061"/>
    <n v="0"/>
    <x v="0"/>
    <x v="3"/>
  </r>
  <r>
    <x v="27"/>
    <x v="0"/>
    <n v="1"/>
    <n v="1"/>
    <n v="0"/>
    <n v="0"/>
    <n v="46149"/>
    <n v="0"/>
    <x v="1"/>
    <x v="3"/>
  </r>
  <r>
    <x v="28"/>
    <x v="1"/>
    <n v="0.95454545454545459"/>
    <n v="1"/>
    <n v="0"/>
    <n v="4.5454545454545456E-2"/>
    <n v="37548"/>
    <n v="0"/>
    <x v="1"/>
    <x v="1"/>
  </r>
  <r>
    <x v="28"/>
    <x v="0"/>
    <n v="1"/>
    <n v="1"/>
    <n v="0"/>
    <n v="0"/>
    <n v="37548"/>
    <n v="0"/>
    <x v="1"/>
    <x v="1"/>
  </r>
  <r>
    <x v="29"/>
    <x v="1"/>
    <n v="0.95454545454545459"/>
    <n v="1"/>
    <n v="0.10526315789473684"/>
    <n v="4.5454545454545456E-2"/>
    <n v="44020"/>
    <n v="0"/>
    <x v="2"/>
    <x v="3"/>
  </r>
  <r>
    <x v="29"/>
    <x v="4"/>
    <n v="1"/>
    <n v="1"/>
    <n v="5.7142857142857141E-2"/>
    <n v="0"/>
    <n v="44020"/>
    <n v="0"/>
    <x v="1"/>
    <x v="3"/>
  </r>
  <r>
    <x v="30"/>
    <x v="1"/>
    <n v="0.77272727272727271"/>
    <n v="1"/>
    <n v="8.8235294117647065E-2"/>
    <n v="0.22727272727272727"/>
    <n v="82692"/>
    <n v="0"/>
    <x v="0"/>
    <x v="3"/>
  </r>
  <r>
    <x v="31"/>
    <x v="5"/>
    <n v="0.81818181818181823"/>
    <n v="1"/>
    <n v="7.5471698113207544E-2"/>
    <n v="0.18181818181818182"/>
    <n v="39915"/>
    <n v="0"/>
    <x v="0"/>
    <x v="0"/>
  </r>
  <r>
    <x v="31"/>
    <x v="4"/>
    <n v="1"/>
    <n v="1"/>
    <n v="9.6774193548387094E-2"/>
    <n v="0"/>
    <n v="39915"/>
    <n v="0"/>
    <x v="1"/>
    <x v="0"/>
  </r>
  <r>
    <x v="32"/>
    <x v="5"/>
    <n v="0.81818181818181823"/>
    <n v="1"/>
    <n v="1.5625E-2"/>
    <n v="0.18181818181818182"/>
    <n v="59133"/>
    <n v="0"/>
    <x v="0"/>
    <x v="0"/>
  </r>
  <r>
    <x v="33"/>
    <x v="0"/>
    <n v="0.95454545454545459"/>
    <n v="1"/>
    <n v="7.2727272727272724E-2"/>
    <n v="4.5454545454545456E-2"/>
    <n v="36280"/>
    <n v="0"/>
    <x v="1"/>
    <x v="0"/>
  </r>
  <r>
    <x v="12"/>
    <x v="1"/>
    <n v="0.77272727272727271"/>
    <n v="0.98809523809523814"/>
    <n v="3.614457831325301E-2"/>
    <n v="0.22727272727272727"/>
    <n v="74159"/>
    <n v="0"/>
    <x v="0"/>
    <x v="0"/>
  </r>
  <r>
    <x v="34"/>
    <x v="2"/>
    <n v="0.95454545454545459"/>
    <n v="0.98809523809523814"/>
    <n v="1.2048192771084338E-2"/>
    <n v="4.5454545454545456E-2"/>
    <n v="35728"/>
    <n v="0"/>
    <x v="1"/>
    <x v="2"/>
  </r>
  <r>
    <x v="6"/>
    <x v="4"/>
    <n v="0.86363636363636365"/>
    <n v="0.98734177215189878"/>
    <n v="3.8461538461538464E-2"/>
    <n v="0.13636363636363635"/>
    <n v="36447"/>
    <n v="0"/>
    <x v="0"/>
    <x v="3"/>
  </r>
  <r>
    <x v="28"/>
    <x v="5"/>
    <n v="1"/>
    <n v="0.9859154929577465"/>
    <n v="5.7142857142857141E-2"/>
    <n v="0"/>
    <n v="37548"/>
    <n v="0"/>
    <x v="1"/>
    <x v="1"/>
  </r>
  <r>
    <x v="35"/>
    <x v="0"/>
    <n v="0.72727272727272729"/>
    <n v="0.98571428571428588"/>
    <n v="4.3478260869565216E-2"/>
    <n v="0.27272727272727271"/>
    <n v="61034"/>
    <n v="0"/>
    <x v="0"/>
    <x v="2"/>
  </r>
  <r>
    <x v="23"/>
    <x v="0"/>
    <n v="0.81818181818181823"/>
    <n v="0.98571428571428588"/>
    <n v="1.4492753623188406E-2"/>
    <n v="0.18181818181818182"/>
    <n v="37560"/>
    <n v="0"/>
    <x v="0"/>
    <x v="3"/>
  </r>
  <r>
    <x v="15"/>
    <x v="3"/>
    <n v="0.86363636363636365"/>
    <n v="0.98550724637681175"/>
    <n v="0"/>
    <n v="0.13636363636363635"/>
    <n v="71628"/>
    <n v="0"/>
    <x v="0"/>
    <x v="2"/>
  </r>
  <r>
    <x v="4"/>
    <x v="3"/>
    <n v="0.90909090909090906"/>
    <n v="0.98529411764705888"/>
    <n v="2.9850746268656712E-2"/>
    <n v="9.0909090909090912E-2"/>
    <n v="46257"/>
    <n v="0"/>
    <x v="2"/>
    <x v="0"/>
  </r>
  <r>
    <x v="36"/>
    <x v="0"/>
    <n v="0.72727272727272729"/>
    <n v="0.98529411764705888"/>
    <n v="5.9701492537313425E-2"/>
    <n v="0.27272727272727271"/>
    <n v="52195"/>
    <n v="0"/>
    <x v="0"/>
    <x v="0"/>
  </r>
  <r>
    <x v="14"/>
    <x v="4"/>
    <n v="0.81818181818181823"/>
    <n v="0.98507462686567171"/>
    <n v="4.5454545454545456E-2"/>
    <n v="0.18181818181818182"/>
    <n v="65366"/>
    <n v="0"/>
    <x v="0"/>
    <x v="2"/>
  </r>
  <r>
    <x v="37"/>
    <x v="5"/>
    <n v="1"/>
    <n v="0.98507462686567171"/>
    <n v="4.5454545454545456E-2"/>
    <n v="0"/>
    <n v="57209"/>
    <n v="0"/>
    <x v="1"/>
    <x v="3"/>
  </r>
  <r>
    <x v="11"/>
    <x v="2"/>
    <n v="0.81818181818181823"/>
    <n v="0.98484848484848486"/>
    <n v="6.1538461538461542E-2"/>
    <n v="0.18181818181818182"/>
    <n v="75277"/>
    <n v="0"/>
    <x v="0"/>
    <x v="0"/>
  </r>
  <r>
    <x v="38"/>
    <x v="5"/>
    <n v="0.81818181818181823"/>
    <n v="0.984375"/>
    <n v="4.7619047619047616E-2"/>
    <n v="0.18181818181818182"/>
    <n v="84043"/>
    <n v="0"/>
    <x v="0"/>
    <x v="0"/>
  </r>
  <r>
    <x v="31"/>
    <x v="2"/>
    <n v="0.95454545454545459"/>
    <n v="0.984375"/>
    <n v="6.3492063492063489E-2"/>
    <n v="4.5454545454545456E-2"/>
    <n v="39915"/>
    <n v="0"/>
    <x v="1"/>
    <x v="0"/>
  </r>
  <r>
    <x v="3"/>
    <x v="4"/>
    <n v="0.95454545454545459"/>
    <n v="0.98412698412698407"/>
    <n v="3.2258064516129031E-2"/>
    <n v="4.5454545454545456E-2"/>
    <n v="37736"/>
    <n v="0"/>
    <x v="1"/>
    <x v="2"/>
  </r>
  <r>
    <x v="0"/>
    <x v="5"/>
    <n v="0.77272727272727271"/>
    <n v="0.9838709677419355"/>
    <n v="4.9180327868852458E-2"/>
    <n v="0.22727272727272727"/>
    <n v="55448"/>
    <n v="0"/>
    <x v="0"/>
    <x v="0"/>
  </r>
  <r>
    <x v="0"/>
    <x v="3"/>
    <n v="0.72727272727272729"/>
    <n v="0.9838709677419355"/>
    <n v="0"/>
    <n v="0.27272727272727271"/>
    <n v="55448"/>
    <n v="0"/>
    <x v="0"/>
    <x v="0"/>
  </r>
  <r>
    <x v="18"/>
    <x v="1"/>
    <n v="0.95454545454545459"/>
    <n v="0.9838709677419355"/>
    <n v="0"/>
    <n v="4.5454545454545456E-2"/>
    <n v="89427"/>
    <n v="0"/>
    <x v="1"/>
    <x v="1"/>
  </r>
  <r>
    <x v="39"/>
    <x v="5"/>
    <n v="0.77272727272727271"/>
    <n v="0.98360655737704916"/>
    <n v="0"/>
    <n v="0.22727272727272727"/>
    <n v="71787"/>
    <n v="0"/>
    <x v="0"/>
    <x v="0"/>
  </r>
  <r>
    <x v="1"/>
    <x v="0"/>
    <n v="0.86363636363636365"/>
    <n v="0.98305084745762716"/>
    <n v="8.6206896551724144E-2"/>
    <n v="0.13636363636363635"/>
    <n v="66433"/>
    <n v="0"/>
    <x v="0"/>
    <x v="1"/>
  </r>
  <r>
    <x v="37"/>
    <x v="2"/>
    <n v="0.90909090909090906"/>
    <n v="0.98275862068965514"/>
    <n v="8.771929824561403E-2"/>
    <n v="9.0909090909090912E-2"/>
    <n v="57209"/>
    <n v="0"/>
    <x v="2"/>
    <x v="3"/>
  </r>
  <r>
    <x v="2"/>
    <x v="4"/>
    <n v="1"/>
    <n v="0.98148148148148151"/>
    <n v="7.5471698113207544E-2"/>
    <n v="0"/>
    <n v="42012"/>
    <n v="0"/>
    <x v="1"/>
    <x v="1"/>
  </r>
  <r>
    <x v="39"/>
    <x v="3"/>
    <n v="0.86363636363636365"/>
    <n v="0.98148148148148151"/>
    <n v="7.5471698113207544E-2"/>
    <n v="0.13636363636363635"/>
    <n v="71787"/>
    <n v="0"/>
    <x v="0"/>
    <x v="0"/>
  </r>
  <r>
    <x v="11"/>
    <x v="3"/>
    <n v="0.81818181818181823"/>
    <n v="0.98113207547169812"/>
    <n v="3.8461538461538464E-2"/>
    <n v="0.18181818181818182"/>
    <n v="75277"/>
    <n v="0"/>
    <x v="0"/>
    <x v="0"/>
  </r>
  <r>
    <x v="40"/>
    <x v="1"/>
    <n v="0.86363636363636365"/>
    <n v="0.98076923076923062"/>
    <n v="5.8823529411764698E-2"/>
    <n v="0.13636363636363635"/>
    <n v="49957"/>
    <n v="0"/>
    <x v="0"/>
    <x v="0"/>
  </r>
  <r>
    <x v="2"/>
    <x v="3"/>
    <n v="0.90909090909090906"/>
    <n v="0.98076923076923062"/>
    <n v="1.9607843137254902E-2"/>
    <n v="9.0909090909090912E-2"/>
    <n v="42012"/>
    <n v="0"/>
    <x v="2"/>
    <x v="1"/>
  </r>
  <r>
    <x v="21"/>
    <x v="5"/>
    <n v="0.95454545454545459"/>
    <n v="0.98076923076923062"/>
    <n v="1.9607843137254902E-2"/>
    <n v="4.5454545454545456E-2"/>
    <n v="54123"/>
    <n v="0"/>
    <x v="1"/>
    <x v="0"/>
  </r>
  <r>
    <x v="40"/>
    <x v="5"/>
    <n v="1"/>
    <n v="0.98"/>
    <n v="6.1224489795918366E-2"/>
    <n v="0"/>
    <n v="49957"/>
    <n v="0"/>
    <x v="1"/>
    <x v="0"/>
  </r>
  <r>
    <x v="38"/>
    <x v="3"/>
    <n v="1"/>
    <n v="0.97959183673469385"/>
    <n v="6.25E-2"/>
    <n v="0"/>
    <n v="84043"/>
    <n v="0"/>
    <x v="1"/>
    <x v="0"/>
  </r>
  <r>
    <x v="39"/>
    <x v="2"/>
    <n v="0.77272727272727271"/>
    <n v="0.97959183673469385"/>
    <n v="0"/>
    <n v="0.22727272727272727"/>
    <n v="71787"/>
    <n v="0"/>
    <x v="0"/>
    <x v="0"/>
  </r>
  <r>
    <x v="33"/>
    <x v="4"/>
    <n v="0.72727272727272729"/>
    <n v="0.97959183673469385"/>
    <n v="0"/>
    <n v="0.27272727272727271"/>
    <n v="36280"/>
    <n v="0"/>
    <x v="0"/>
    <x v="0"/>
  </r>
  <r>
    <x v="6"/>
    <x v="0"/>
    <n v="1"/>
    <n v="0.97916666666666652"/>
    <n v="8.5106382978723402E-2"/>
    <n v="0"/>
    <n v="36447"/>
    <n v="0"/>
    <x v="1"/>
    <x v="3"/>
  </r>
  <r>
    <x v="28"/>
    <x v="4"/>
    <n v="0.77272727272727271"/>
    <n v="0.97872340425531912"/>
    <n v="2.1739130434782608E-2"/>
    <n v="0.22727272727272727"/>
    <n v="37548"/>
    <n v="0"/>
    <x v="0"/>
    <x v="1"/>
  </r>
  <r>
    <x v="4"/>
    <x v="1"/>
    <n v="0.90909090909090906"/>
    <n v="0.97826086956521729"/>
    <n v="8.8888888888888892E-2"/>
    <n v="9.0909090909090912E-2"/>
    <n v="46257"/>
    <n v="0"/>
    <x v="2"/>
    <x v="0"/>
  </r>
  <r>
    <x v="41"/>
    <x v="1"/>
    <n v="1"/>
    <n v="0.97777777777777775"/>
    <n v="0"/>
    <n v="0"/>
    <n v="38396"/>
    <n v="0"/>
    <x v="1"/>
    <x v="3"/>
  </r>
  <r>
    <x v="42"/>
    <x v="2"/>
    <n v="0.72727272727272729"/>
    <n v="0.97590361445783136"/>
    <n v="3.7037037037037035E-2"/>
    <n v="0.27272727272727271"/>
    <n v="84504"/>
    <n v="0"/>
    <x v="0"/>
    <x v="2"/>
  </r>
  <r>
    <x v="34"/>
    <x v="4"/>
    <n v="0.72727272727272729"/>
    <n v="0.97590361445783136"/>
    <n v="4.9382716049382713E-2"/>
    <n v="0.27272727272727271"/>
    <n v="35728"/>
    <n v="0"/>
    <x v="0"/>
    <x v="2"/>
  </r>
  <r>
    <x v="41"/>
    <x v="5"/>
    <n v="0.90909090909090906"/>
    <n v="0.97499999999999998"/>
    <n v="2.564102564102564E-2"/>
    <n v="9.0909090909090912E-2"/>
    <n v="38396"/>
    <n v="0"/>
    <x v="2"/>
    <x v="3"/>
  </r>
  <r>
    <x v="10"/>
    <x v="2"/>
    <n v="0.72727272727272729"/>
    <n v="0.97499999999999998"/>
    <n v="5.128205128205128E-2"/>
    <n v="0.27272727272727271"/>
    <n v="59857"/>
    <n v="0"/>
    <x v="0"/>
    <x v="2"/>
  </r>
  <r>
    <x v="31"/>
    <x v="1"/>
    <n v="1"/>
    <n v="0.97499999999999998"/>
    <n v="7.6923076923076927E-2"/>
    <n v="0"/>
    <n v="39915"/>
    <n v="0"/>
    <x v="1"/>
    <x v="0"/>
  </r>
  <r>
    <x v="38"/>
    <x v="2"/>
    <n v="0.72727272727272729"/>
    <n v="0.97468354430379744"/>
    <n v="5.1948051948051945E-2"/>
    <n v="0.27272727272727271"/>
    <n v="84043"/>
    <n v="0"/>
    <x v="0"/>
    <x v="0"/>
  </r>
  <r>
    <x v="43"/>
    <x v="4"/>
    <n v="0.90909090909090906"/>
    <n v="0.97402597402597413"/>
    <n v="0.04"/>
    <n v="9.0909090909090912E-2"/>
    <n v="45880"/>
    <n v="0"/>
    <x v="2"/>
    <x v="1"/>
  </r>
  <r>
    <x v="22"/>
    <x v="4"/>
    <n v="0.86363636363636365"/>
    <n v="0.97402597402597413"/>
    <n v="0.04"/>
    <n v="0.13636363636363635"/>
    <n v="83035"/>
    <n v="0"/>
    <x v="0"/>
    <x v="0"/>
  </r>
  <r>
    <x v="11"/>
    <x v="4"/>
    <n v="0.77272727272727271"/>
    <n v="0.97368421052631571"/>
    <n v="5.405405405405405E-2"/>
    <n v="0.22727272727272727"/>
    <n v="75277"/>
    <n v="0"/>
    <x v="0"/>
    <x v="0"/>
  </r>
  <r>
    <x v="19"/>
    <x v="5"/>
    <n v="0.95454545454545459"/>
    <n v="0.97368421052631571"/>
    <n v="5.405405405405405E-2"/>
    <n v="4.5454545454545456E-2"/>
    <n v="55298"/>
    <n v="0"/>
    <x v="1"/>
    <x v="2"/>
  </r>
  <r>
    <x v="7"/>
    <x v="4"/>
    <n v="0.77272727272727271"/>
    <n v="0.97333333333333338"/>
    <n v="1.3698630136986301E-2"/>
    <n v="0.22727272727272727"/>
    <n v="89085"/>
    <n v="0"/>
    <x v="0"/>
    <x v="1"/>
  </r>
  <r>
    <x v="35"/>
    <x v="3"/>
    <n v="0.90909090909090906"/>
    <n v="0.97333333333333338"/>
    <n v="6.8493150684931503E-2"/>
    <n v="9.0909090909090912E-2"/>
    <n v="61034"/>
    <n v="0"/>
    <x v="2"/>
    <x v="2"/>
  </r>
  <r>
    <x v="44"/>
    <x v="1"/>
    <n v="0.77272727272727271"/>
    <n v="0.9722222222222221"/>
    <n v="2.8571428571428571E-2"/>
    <n v="0.22727272727272727"/>
    <n v="37716"/>
    <n v="0"/>
    <x v="0"/>
    <x v="3"/>
  </r>
  <r>
    <x v="39"/>
    <x v="1"/>
    <n v="0.81818181818181823"/>
    <n v="0.9722222222222221"/>
    <n v="2.8571428571428571E-2"/>
    <n v="0.18181818181818182"/>
    <n v="71787"/>
    <n v="0"/>
    <x v="0"/>
    <x v="0"/>
  </r>
  <r>
    <x v="29"/>
    <x v="5"/>
    <n v="0.90909090909090906"/>
    <n v="0.9722222222222221"/>
    <n v="2.8571428571428571E-2"/>
    <n v="9.0909090909090912E-2"/>
    <n v="44020"/>
    <n v="0"/>
    <x v="2"/>
    <x v="3"/>
  </r>
  <r>
    <x v="43"/>
    <x v="2"/>
    <n v="0.95454545454545459"/>
    <n v="0.971830985915493"/>
    <n v="1.4492753623188406E-2"/>
    <n v="4.5454545454545456E-2"/>
    <n v="45880"/>
    <n v="0"/>
    <x v="1"/>
    <x v="1"/>
  </r>
  <r>
    <x v="11"/>
    <x v="0"/>
    <n v="0.72727272727272729"/>
    <n v="0.971830985915493"/>
    <n v="4.3478260869565216E-2"/>
    <n v="0.27272727272727271"/>
    <n v="75277"/>
    <n v="0"/>
    <x v="0"/>
    <x v="0"/>
  </r>
  <r>
    <x v="25"/>
    <x v="5"/>
    <n v="0.81818181818181823"/>
    <n v="0.97142857142857142"/>
    <n v="2.9411764705882349E-2"/>
    <n v="0.18181818181818182"/>
    <n v="40435"/>
    <n v="0"/>
    <x v="0"/>
    <x v="1"/>
  </r>
  <r>
    <x v="5"/>
    <x v="0"/>
    <n v="0.81818181818181823"/>
    <n v="0.97058823529411764"/>
    <n v="0.12121212121212122"/>
    <n v="0.18181818181818182"/>
    <n v="42493"/>
    <n v="0"/>
    <x v="0"/>
    <x v="3"/>
  </r>
  <r>
    <x v="14"/>
    <x v="3"/>
    <n v="0.95454545454545459"/>
    <n v="0.97014925373134331"/>
    <n v="4.6153846153846156E-2"/>
    <n v="4.5454545454545456E-2"/>
    <n v="65366"/>
    <n v="0"/>
    <x v="1"/>
    <x v="2"/>
  </r>
  <r>
    <x v="10"/>
    <x v="4"/>
    <n v="0.90909090909090906"/>
    <n v="0.96969696969696972"/>
    <n v="3.125E-2"/>
    <n v="9.0909090909090912E-2"/>
    <n v="59857"/>
    <n v="0"/>
    <x v="2"/>
    <x v="2"/>
  </r>
  <r>
    <x v="45"/>
    <x v="0"/>
    <n v="0.72727272727272729"/>
    <n v="0.96969696969696972"/>
    <n v="6.25E-2"/>
    <n v="0.27272727272727271"/>
    <n v="62782"/>
    <n v="0"/>
    <x v="0"/>
    <x v="1"/>
  </r>
  <r>
    <x v="36"/>
    <x v="3"/>
    <n v="1"/>
    <n v="0.96923076923076923"/>
    <n v="7.9365079365079361E-2"/>
    <n v="0"/>
    <n v="52195"/>
    <n v="0"/>
    <x v="1"/>
    <x v="0"/>
  </r>
  <r>
    <x v="3"/>
    <x v="1"/>
    <n v="0.77272727272727271"/>
    <n v="0.96875"/>
    <n v="3.2258064516129031E-2"/>
    <n v="0.22727272727272727"/>
    <n v="37736"/>
    <n v="0"/>
    <x v="0"/>
    <x v="2"/>
  </r>
  <r>
    <x v="15"/>
    <x v="1"/>
    <n v="1"/>
    <n v="0.96875"/>
    <n v="0.12903225806451613"/>
    <n v="0"/>
    <n v="71628"/>
    <n v="0"/>
    <x v="2"/>
    <x v="2"/>
  </r>
  <r>
    <x v="26"/>
    <x v="1"/>
    <n v="0.77272727272727271"/>
    <n v="0.96825396825396826"/>
    <n v="4.9180327868852458E-2"/>
    <n v="0.22727272727272727"/>
    <n v="58061"/>
    <n v="0"/>
    <x v="0"/>
    <x v="3"/>
  </r>
  <r>
    <x v="46"/>
    <x v="3"/>
    <n v="0.95454545454545459"/>
    <n v="0.967741935483871"/>
    <n v="0"/>
    <n v="4.5454545454545456E-2"/>
    <n v="52765"/>
    <n v="0"/>
    <x v="1"/>
    <x v="3"/>
  </r>
  <r>
    <x v="30"/>
    <x v="3"/>
    <n v="0.72727272727272729"/>
    <n v="0.967741935483871"/>
    <n v="6.6666666666666666E-2"/>
    <n v="0.27272727272727271"/>
    <n v="82692"/>
    <n v="0"/>
    <x v="0"/>
    <x v="3"/>
  </r>
  <r>
    <x v="41"/>
    <x v="4"/>
    <n v="1"/>
    <n v="0.96551724137931028"/>
    <n v="8.9285714285714288E-2"/>
    <n v="0"/>
    <n v="38396"/>
    <n v="0"/>
    <x v="1"/>
    <x v="3"/>
  </r>
  <r>
    <x v="47"/>
    <x v="5"/>
    <n v="1"/>
    <n v="0.9642857142857143"/>
    <n v="3.7037037037037035E-2"/>
    <n v="0"/>
    <n v="86706"/>
    <n v="0"/>
    <x v="1"/>
    <x v="0"/>
  </r>
  <r>
    <x v="25"/>
    <x v="1"/>
    <n v="0.95454545454545459"/>
    <n v="0.9642857142857143"/>
    <n v="0"/>
    <n v="4.5454545454545456E-2"/>
    <n v="40435"/>
    <n v="0"/>
    <x v="1"/>
    <x v="1"/>
  </r>
  <r>
    <x v="2"/>
    <x v="0"/>
    <n v="0.95454545454545459"/>
    <n v="0.96385542168674698"/>
    <n v="0"/>
    <n v="4.5454545454545456E-2"/>
    <n v="42012"/>
    <n v="0"/>
    <x v="1"/>
    <x v="1"/>
  </r>
  <r>
    <x v="33"/>
    <x v="1"/>
    <n v="0.77272727272727271"/>
    <n v="0.96385542168674698"/>
    <n v="6.25E-2"/>
    <n v="0.22727272727272727"/>
    <n v="36280"/>
    <n v="0"/>
    <x v="0"/>
    <x v="0"/>
  </r>
  <r>
    <x v="42"/>
    <x v="0"/>
    <n v="0.95454545454545459"/>
    <n v="0.96363636363636362"/>
    <n v="7.5471698113207544E-2"/>
    <n v="4.5454545454545456E-2"/>
    <n v="84504"/>
    <n v="0"/>
    <x v="1"/>
    <x v="2"/>
  </r>
  <r>
    <x v="13"/>
    <x v="5"/>
    <n v="0.86363636363636365"/>
    <n v="0.96363636363636362"/>
    <n v="9.4339622641509441E-2"/>
    <n v="0.13636363636363635"/>
    <n v="68844"/>
    <n v="0"/>
    <x v="0"/>
    <x v="0"/>
  </r>
  <r>
    <x v="45"/>
    <x v="4"/>
    <n v="0.72727272727272729"/>
    <n v="0.96296296296296291"/>
    <n v="1.9230769230769232E-2"/>
    <n v="0.27272727272727271"/>
    <n v="62782"/>
    <n v="0"/>
    <x v="0"/>
    <x v="1"/>
  </r>
  <r>
    <x v="47"/>
    <x v="0"/>
    <n v="0.95454545454545459"/>
    <n v="0.96226415094339623"/>
    <n v="7.8431372549019607E-2"/>
    <n v="4.5454545454545456E-2"/>
    <n v="86706"/>
    <n v="0"/>
    <x v="1"/>
    <x v="0"/>
  </r>
  <r>
    <x v="24"/>
    <x v="0"/>
    <n v="0.77272727272727271"/>
    <n v="0.96153846153846156"/>
    <n v="0.08"/>
    <n v="0.22727272727272727"/>
    <n v="36399"/>
    <n v="0"/>
    <x v="0"/>
    <x v="2"/>
  </r>
  <r>
    <x v="45"/>
    <x v="5"/>
    <n v="1"/>
    <n v="0.96153846153846156"/>
    <n v="1.3333333333333334E-2"/>
    <n v="0"/>
    <n v="62782"/>
    <n v="0"/>
    <x v="1"/>
    <x v="1"/>
  </r>
  <r>
    <x v="27"/>
    <x v="4"/>
    <n v="0.90909090909090906"/>
    <n v="0.96153846153846156"/>
    <n v="0"/>
    <n v="9.0909090909090912E-2"/>
    <n v="46149"/>
    <n v="0"/>
    <x v="2"/>
    <x v="3"/>
  </r>
  <r>
    <x v="48"/>
    <x v="5"/>
    <n v="0.77272727272727271"/>
    <n v="0.96153846153846156"/>
    <n v="1.3333333333333334E-2"/>
    <n v="0.22727272727272727"/>
    <n v="77876"/>
    <n v="0"/>
    <x v="0"/>
    <x v="1"/>
  </r>
  <r>
    <x v="13"/>
    <x v="2"/>
    <n v="1"/>
    <n v="0.96"/>
    <n v="6.25E-2"/>
    <n v="0"/>
    <n v="68844"/>
    <n v="0"/>
    <x v="1"/>
    <x v="0"/>
  </r>
  <r>
    <x v="18"/>
    <x v="4"/>
    <n v="0.77272727272727271"/>
    <n v="0.96"/>
    <n v="0"/>
    <n v="0.22727272727272727"/>
    <n v="89427"/>
    <n v="0"/>
    <x v="0"/>
    <x v="1"/>
  </r>
  <r>
    <x v="32"/>
    <x v="0"/>
    <n v="0.90909090909090906"/>
    <n v="0.96"/>
    <n v="0.10416666666666669"/>
    <n v="9.0909090909090912E-2"/>
    <n v="59133"/>
    <n v="0"/>
    <x v="2"/>
    <x v="0"/>
  </r>
  <r>
    <x v="49"/>
    <x v="5"/>
    <n v="0.81818181818181823"/>
    <n v="0.95918367346938771"/>
    <n v="0"/>
    <n v="0.18181818181818182"/>
    <n v="80699"/>
    <n v="0"/>
    <x v="0"/>
    <x v="3"/>
  </r>
  <r>
    <x v="6"/>
    <x v="2"/>
    <n v="0.77272727272727271"/>
    <n v="0.95774647887323938"/>
    <n v="5.8823529411764698E-2"/>
    <n v="0.22727272727272727"/>
    <n v="36447"/>
    <n v="0"/>
    <x v="0"/>
    <x v="3"/>
  </r>
  <r>
    <x v="46"/>
    <x v="1"/>
    <n v="0.81818181818181823"/>
    <n v="0.95744680851063835"/>
    <n v="0"/>
    <n v="0.18181818181818182"/>
    <n v="52765"/>
    <n v="0"/>
    <x v="0"/>
    <x v="3"/>
  </r>
  <r>
    <x v="28"/>
    <x v="2"/>
    <n v="0.81818181818181823"/>
    <n v="0.95714285714285718"/>
    <n v="5.9701492537313425E-2"/>
    <n v="0.18181818181818182"/>
    <n v="37548"/>
    <n v="0"/>
    <x v="0"/>
    <x v="1"/>
  </r>
  <r>
    <x v="47"/>
    <x v="2"/>
    <n v="0.86363636363636365"/>
    <n v="0.95652173913043481"/>
    <n v="0"/>
    <n v="0.13636363636363635"/>
    <n v="86706"/>
    <n v="0"/>
    <x v="0"/>
    <x v="0"/>
  </r>
  <r>
    <x v="26"/>
    <x v="3"/>
    <n v="0.72727272727272729"/>
    <n v="0.95652173913043481"/>
    <n v="6.0606060606060608E-2"/>
    <n v="0.27272727272727271"/>
    <n v="58061"/>
    <n v="0"/>
    <x v="0"/>
    <x v="3"/>
  </r>
  <r>
    <x v="4"/>
    <x v="0"/>
    <n v="0.81818181818181823"/>
    <n v="0.95588235294117652"/>
    <n v="1.5384615384615385E-2"/>
    <n v="0.18181818181818182"/>
    <n v="46257"/>
    <n v="0"/>
    <x v="0"/>
    <x v="0"/>
  </r>
  <r>
    <x v="43"/>
    <x v="5"/>
    <n v="0.95454545454545459"/>
    <n v="0.9555555555555556"/>
    <n v="6.9767441860465115E-2"/>
    <n v="4.5454545454545456E-2"/>
    <n v="45880"/>
    <n v="0"/>
    <x v="1"/>
    <x v="1"/>
  </r>
  <r>
    <x v="25"/>
    <x v="2"/>
    <n v="0.77272727272727271"/>
    <n v="0.9552238805970148"/>
    <n v="7.8125E-2"/>
    <n v="0.22727272727272727"/>
    <n v="40435"/>
    <n v="0"/>
    <x v="0"/>
    <x v="1"/>
  </r>
  <r>
    <x v="4"/>
    <x v="2"/>
    <n v="0.77272727272727271"/>
    <n v="0.95454545454545459"/>
    <n v="1.5873015873015872E-2"/>
    <n v="0.22727272727272727"/>
    <n v="46257"/>
    <n v="0"/>
    <x v="0"/>
    <x v="0"/>
  </r>
  <r>
    <x v="42"/>
    <x v="5"/>
    <n v="0.81818181818181823"/>
    <n v="0.95454545454545459"/>
    <n v="6.3492063492063489E-2"/>
    <n v="0.18181818181818182"/>
    <n v="84504"/>
    <n v="0"/>
    <x v="0"/>
    <x v="2"/>
  </r>
  <r>
    <x v="37"/>
    <x v="4"/>
    <n v="1"/>
    <n v="0.95454545454545459"/>
    <n v="6.3492063492063489E-2"/>
    <n v="0"/>
    <n v="57209"/>
    <n v="0"/>
    <x v="1"/>
    <x v="3"/>
  </r>
  <r>
    <x v="44"/>
    <x v="4"/>
    <n v="0.81818181818181823"/>
    <n v="0.9538461538461539"/>
    <n v="0"/>
    <n v="0.18181818181818182"/>
    <n v="37716"/>
    <n v="0"/>
    <x v="0"/>
    <x v="3"/>
  </r>
  <r>
    <x v="37"/>
    <x v="0"/>
    <n v="0.72727272727272729"/>
    <n v="0.9538461538461539"/>
    <n v="4.8387096774193547E-2"/>
    <n v="0.27272727272727271"/>
    <n v="57209"/>
    <n v="0"/>
    <x v="0"/>
    <x v="3"/>
  </r>
  <r>
    <x v="35"/>
    <x v="2"/>
    <n v="0.72727272727272729"/>
    <n v="0.95348837209302328"/>
    <n v="7.3170731707317069E-2"/>
    <n v="0.27272727272727271"/>
    <n v="61034"/>
    <n v="0"/>
    <x v="0"/>
    <x v="2"/>
  </r>
  <r>
    <x v="30"/>
    <x v="0"/>
    <n v="1"/>
    <n v="0.953125"/>
    <n v="0"/>
    <n v="0"/>
    <n v="82692"/>
    <n v="0"/>
    <x v="1"/>
    <x v="3"/>
  </r>
  <r>
    <x v="8"/>
    <x v="0"/>
    <n v="0.81818181818181823"/>
    <n v="0.95238095238095222"/>
    <n v="0"/>
    <n v="0.18181818181818182"/>
    <n v="41091"/>
    <n v="0"/>
    <x v="0"/>
    <x v="0"/>
  </r>
  <r>
    <x v="28"/>
    <x v="3"/>
    <n v="0.95454545454545459"/>
    <n v="0.95180722891566261"/>
    <n v="1.2658227848101267E-2"/>
    <n v="4.5454545454545456E-2"/>
    <n v="37548"/>
    <n v="0"/>
    <x v="1"/>
    <x v="1"/>
  </r>
  <r>
    <x v="13"/>
    <x v="3"/>
    <n v="0.77272727272727271"/>
    <n v="0.95121951219512202"/>
    <n v="3.8461538461538464E-2"/>
    <n v="0.22727272727272727"/>
    <n v="68844"/>
    <n v="0"/>
    <x v="0"/>
    <x v="0"/>
  </r>
  <r>
    <x v="47"/>
    <x v="4"/>
    <n v="0.81818181818181823"/>
    <n v="0.95081967213114749"/>
    <n v="1.7241379310344827E-2"/>
    <n v="0.18181818181818182"/>
    <n v="86706"/>
    <n v="0"/>
    <x v="0"/>
    <x v="0"/>
  </r>
  <r>
    <x v="48"/>
    <x v="4"/>
    <n v="0.95454545454545459"/>
    <n v="0.95081967213114749"/>
    <n v="5.1724137931034482E-2"/>
    <n v="4.5454545454545456E-2"/>
    <n v="77876"/>
    <n v="0"/>
    <x v="1"/>
    <x v="1"/>
  </r>
  <r>
    <x v="41"/>
    <x v="3"/>
    <n v="0.86363636363636365"/>
    <n v="0.95"/>
    <n v="3.5087719298245612E-2"/>
    <n v="0.13636363636363635"/>
    <n v="38396"/>
    <n v="0"/>
    <x v="0"/>
    <x v="3"/>
  </r>
  <r>
    <x v="4"/>
    <x v="5"/>
    <n v="0.81818181818181823"/>
    <n v="0.95"/>
    <n v="7.0175438596491224E-2"/>
    <n v="0.18181818181818182"/>
    <n v="46257"/>
    <n v="0"/>
    <x v="0"/>
    <x v="0"/>
  </r>
  <r>
    <x v="19"/>
    <x v="4"/>
    <n v="1"/>
    <n v="0.949367088607595"/>
    <n v="1.3333333333333334E-2"/>
    <n v="0"/>
    <n v="55298"/>
    <n v="0"/>
    <x v="1"/>
    <x v="2"/>
  </r>
  <r>
    <x v="0"/>
    <x v="4"/>
    <n v="0.72727272727272729"/>
    <n v="0.94915254237288138"/>
    <n v="7.1428571428571425E-2"/>
    <n v="0.27272727272727271"/>
    <n v="55448"/>
    <n v="0"/>
    <x v="0"/>
    <x v="0"/>
  </r>
  <r>
    <x v="46"/>
    <x v="0"/>
    <n v="1"/>
    <n v="0.94871794871794857"/>
    <n v="5.405405405405405E-2"/>
    <n v="0"/>
    <n v="52765"/>
    <n v="0"/>
    <x v="1"/>
    <x v="3"/>
  </r>
  <r>
    <x v="16"/>
    <x v="0"/>
    <n v="1"/>
    <n v="0.94827586206896552"/>
    <n v="9.0909090909090912E-2"/>
    <n v="0"/>
    <n v="61425"/>
    <n v="0"/>
    <x v="1"/>
    <x v="2"/>
  </r>
  <r>
    <x v="22"/>
    <x v="2"/>
    <n v="0.77272727272727271"/>
    <n v="0.94805194805194803"/>
    <n v="4.1095890410958902E-2"/>
    <n v="0.22727272727272727"/>
    <n v="83035"/>
    <n v="0"/>
    <x v="0"/>
    <x v="0"/>
  </r>
  <r>
    <x v="35"/>
    <x v="4"/>
    <n v="0.72727272727272729"/>
    <n v="0.94736842105263153"/>
    <n v="2.7777777777777776E-2"/>
    <n v="0.27272727272727271"/>
    <n v="61034"/>
    <n v="0"/>
    <x v="0"/>
    <x v="2"/>
  </r>
  <r>
    <x v="8"/>
    <x v="5"/>
    <n v="0.72727272727272729"/>
    <n v="0.94666666666666677"/>
    <n v="1.4084507042253523E-2"/>
    <n v="0.27272727272727271"/>
    <n v="41091"/>
    <n v="0"/>
    <x v="0"/>
    <x v="0"/>
  </r>
  <r>
    <x v="44"/>
    <x v="2"/>
    <n v="0.90909090909090906"/>
    <n v="0.94666666666666677"/>
    <n v="1.4084507042253523E-2"/>
    <n v="9.0909090909090912E-2"/>
    <n v="37716"/>
    <n v="0"/>
    <x v="2"/>
    <x v="3"/>
  </r>
  <r>
    <x v="32"/>
    <x v="3"/>
    <n v="0.81818181818181823"/>
    <n v="0.94594594594594594"/>
    <n v="8.5714285714285715E-2"/>
    <n v="0.18181818181818182"/>
    <n v="59133"/>
    <n v="0"/>
    <x v="0"/>
    <x v="0"/>
  </r>
  <r>
    <x v="1"/>
    <x v="5"/>
    <n v="0.77272727272727271"/>
    <n v="0.94545454545454544"/>
    <n v="5.7692307692307689E-2"/>
    <n v="0.22727272727272727"/>
    <n v="66433"/>
    <n v="0"/>
    <x v="0"/>
    <x v="1"/>
  </r>
  <r>
    <x v="45"/>
    <x v="3"/>
    <n v="1"/>
    <n v="0.94545454545454544"/>
    <n v="5.7692307692307689E-2"/>
    <n v="0"/>
    <n v="62782"/>
    <n v="0"/>
    <x v="1"/>
    <x v="1"/>
  </r>
  <r>
    <x v="7"/>
    <x v="0"/>
    <n v="0.72727272727272729"/>
    <n v="0.94444444444444442"/>
    <n v="5.8823529411764698E-2"/>
    <n v="0.27272727272727271"/>
    <n v="89085"/>
    <n v="0"/>
    <x v="0"/>
    <x v="1"/>
  </r>
  <r>
    <x v="47"/>
    <x v="1"/>
    <n v="0.81818181818181823"/>
    <n v="0.94444444444444442"/>
    <n v="5.8823529411764698E-2"/>
    <n v="0.18181818181818182"/>
    <n v="86706"/>
    <n v="0"/>
    <x v="0"/>
    <x v="0"/>
  </r>
  <r>
    <x v="7"/>
    <x v="1"/>
    <n v="1"/>
    <n v="0.94339622641509435"/>
    <n v="0.02"/>
    <n v="0"/>
    <n v="89085"/>
    <n v="0"/>
    <x v="1"/>
    <x v="1"/>
  </r>
  <r>
    <x v="27"/>
    <x v="5"/>
    <n v="0.81818181818181823"/>
    <n v="0.94339622641509435"/>
    <n v="0.06"/>
    <n v="0.18181818181818182"/>
    <n v="46149"/>
    <n v="0"/>
    <x v="0"/>
    <x v="3"/>
  </r>
  <r>
    <x v="43"/>
    <x v="0"/>
    <n v="0.81818181818181823"/>
    <n v="0.94285714285714273"/>
    <n v="3.0303030303030304E-2"/>
    <n v="0.18181818181818182"/>
    <n v="45880"/>
    <n v="0"/>
    <x v="0"/>
    <x v="1"/>
  </r>
  <r>
    <x v="14"/>
    <x v="2"/>
    <n v="0.86363636363636365"/>
    <n v="0.94230769230769229"/>
    <n v="8.1632653061224497E-2"/>
    <n v="0.13636363636363635"/>
    <n v="65366"/>
    <n v="0"/>
    <x v="0"/>
    <x v="2"/>
  </r>
  <r>
    <x v="21"/>
    <x v="1"/>
    <n v="0.90909090909090906"/>
    <n v="0.94230769230769229"/>
    <n v="6.1224489795918366E-2"/>
    <n v="9.0909090909090912E-2"/>
    <n v="54123"/>
    <n v="0"/>
    <x v="2"/>
    <x v="0"/>
  </r>
  <r>
    <x v="31"/>
    <x v="3"/>
    <n v="1"/>
    <n v="0.94202898550724645"/>
    <n v="3.0769230769230771E-2"/>
    <n v="0"/>
    <n v="39915"/>
    <n v="0"/>
    <x v="1"/>
    <x v="0"/>
  </r>
  <r>
    <x v="44"/>
    <x v="0"/>
    <n v="0.77272727272727271"/>
    <n v="0.94117647058823517"/>
    <n v="0"/>
    <n v="0.22727272727272727"/>
    <n v="37716"/>
    <n v="0"/>
    <x v="0"/>
    <x v="3"/>
  </r>
  <r>
    <x v="20"/>
    <x v="3"/>
    <n v="0.72727272727272729"/>
    <n v="0.94117647058823517"/>
    <n v="0"/>
    <n v="0.27272727272727271"/>
    <n v="80497"/>
    <n v="0"/>
    <x v="0"/>
    <x v="2"/>
  </r>
  <r>
    <x v="49"/>
    <x v="4"/>
    <n v="0.72727272727272729"/>
    <n v="0.94047619047619047"/>
    <n v="1.2658227848101267E-2"/>
    <n v="0.27272727272727271"/>
    <n v="80699"/>
    <n v="0"/>
    <x v="0"/>
    <x v="3"/>
  </r>
  <r>
    <x v="13"/>
    <x v="4"/>
    <n v="0.77272727272727271"/>
    <n v="0.94029850746268662"/>
    <n v="3.1746031746031744E-2"/>
    <n v="0.22727272727272727"/>
    <n v="68844"/>
    <n v="0"/>
    <x v="0"/>
    <x v="0"/>
  </r>
  <r>
    <x v="9"/>
    <x v="5"/>
    <n v="0.72727272727272729"/>
    <n v="0.93939393939393934"/>
    <n v="4.8387096774193547E-2"/>
    <n v="0.27272727272727271"/>
    <n v="38287"/>
    <n v="0"/>
    <x v="0"/>
    <x v="1"/>
  </r>
  <r>
    <x v="23"/>
    <x v="5"/>
    <n v="0.77272727272727271"/>
    <n v="0.93939393939393934"/>
    <n v="1.6129032258064516E-2"/>
    <n v="0.22727272727272727"/>
    <n v="37560"/>
    <n v="0"/>
    <x v="0"/>
    <x v="3"/>
  </r>
  <r>
    <x v="44"/>
    <x v="3"/>
    <n v="0.81818181818181823"/>
    <n v="0.93877551020408168"/>
    <n v="6.5217391304347824E-2"/>
    <n v="0.18181818181818182"/>
    <n v="37716"/>
    <n v="0"/>
    <x v="0"/>
    <x v="3"/>
  </r>
  <r>
    <x v="36"/>
    <x v="1"/>
    <n v="1"/>
    <n v="0.93877551020408168"/>
    <n v="0"/>
    <n v="0"/>
    <n v="52195"/>
    <n v="0"/>
    <x v="1"/>
    <x v="0"/>
  </r>
  <r>
    <x v="33"/>
    <x v="5"/>
    <n v="0.72727272727272729"/>
    <n v="0.93877551020408168"/>
    <n v="8.6956521739130432E-2"/>
    <n v="0.27272727272727271"/>
    <n v="36280"/>
    <n v="0"/>
    <x v="0"/>
    <x v="0"/>
  </r>
  <r>
    <x v="36"/>
    <x v="5"/>
    <n v="0.86363636363636365"/>
    <n v="0.93846153846153835"/>
    <n v="3.2786885245901641E-2"/>
    <n v="0.13636363636363635"/>
    <n v="52195"/>
    <n v="0"/>
    <x v="0"/>
    <x v="0"/>
  </r>
  <r>
    <x v="36"/>
    <x v="2"/>
    <n v="0.86363636363636365"/>
    <n v="0.93827160493827155"/>
    <n v="6.5789473684210523E-2"/>
    <n v="0.13636363636363635"/>
    <n v="52195"/>
    <n v="0"/>
    <x v="0"/>
    <x v="0"/>
  </r>
  <r>
    <x v="40"/>
    <x v="3"/>
    <n v="1"/>
    <n v="0.9375"/>
    <n v="6.6666666666666666E-2"/>
    <n v="0"/>
    <n v="49957"/>
    <n v="0"/>
    <x v="1"/>
    <x v="0"/>
  </r>
  <r>
    <x v="6"/>
    <x v="3"/>
    <n v="0.77272727272727271"/>
    <n v="0.9375"/>
    <n v="0"/>
    <n v="0.22727272727272727"/>
    <n v="36447"/>
    <n v="0"/>
    <x v="0"/>
    <x v="3"/>
  </r>
  <r>
    <x v="39"/>
    <x v="0"/>
    <n v="0.95454545454545459"/>
    <n v="0.9375"/>
    <n v="0"/>
    <n v="4.5454545454545456E-2"/>
    <n v="71787"/>
    <n v="0"/>
    <x v="1"/>
    <x v="0"/>
  </r>
  <r>
    <x v="20"/>
    <x v="0"/>
    <n v="1"/>
    <n v="0.9375"/>
    <n v="6.6666666666666666E-2"/>
    <n v="0"/>
    <n v="80497"/>
    <n v="0"/>
    <x v="1"/>
    <x v="2"/>
  </r>
  <r>
    <x v="32"/>
    <x v="4"/>
    <n v="0.90909090909090906"/>
    <n v="0.9375"/>
    <n v="0.1111111111111111"/>
    <n v="9.0909090909090912E-2"/>
    <n v="59133"/>
    <n v="0"/>
    <x v="2"/>
    <x v="0"/>
  </r>
  <r>
    <x v="15"/>
    <x v="5"/>
    <n v="0.77272727272727271"/>
    <n v="0.93670886075949367"/>
    <n v="2.7027027027027025E-2"/>
    <n v="0.22727272727272727"/>
    <n v="71628"/>
    <n v="0"/>
    <x v="0"/>
    <x v="2"/>
  </r>
  <r>
    <x v="18"/>
    <x v="2"/>
    <n v="0.90909090909090906"/>
    <n v="0.93670886075949367"/>
    <n v="5.405405405405405E-2"/>
    <n v="9.0909090909090912E-2"/>
    <n v="89427"/>
    <n v="0"/>
    <x v="2"/>
    <x v="1"/>
  </r>
  <r>
    <x v="19"/>
    <x v="0"/>
    <n v="1"/>
    <n v="0.9358974358974359"/>
    <n v="1.3698630136986301E-2"/>
    <n v="0"/>
    <n v="55298"/>
    <n v="0"/>
    <x v="1"/>
    <x v="2"/>
  </r>
  <r>
    <x v="29"/>
    <x v="0"/>
    <n v="0.90909090909090906"/>
    <n v="0.9358974358974359"/>
    <n v="0"/>
    <n v="9.0909090909090912E-2"/>
    <n v="44020"/>
    <n v="0"/>
    <x v="2"/>
    <x v="3"/>
  </r>
  <r>
    <x v="38"/>
    <x v="4"/>
    <n v="0.95454545454545459"/>
    <n v="0.93333333333333324"/>
    <n v="0"/>
    <n v="4.5454545454545456E-2"/>
    <n v="84043"/>
    <n v="0"/>
    <x v="1"/>
    <x v="0"/>
  </r>
  <r>
    <x v="43"/>
    <x v="3"/>
    <n v="0.72727272727272729"/>
    <n v="0.93333333333333324"/>
    <n v="3.5714285714285712E-2"/>
    <n v="0.27272727272727271"/>
    <n v="45880"/>
    <n v="0"/>
    <x v="0"/>
    <x v="1"/>
  </r>
  <r>
    <x v="17"/>
    <x v="2"/>
    <n v="0.72727272727272729"/>
    <n v="0.93333333333333324"/>
    <n v="0"/>
    <n v="0.27272727272727271"/>
    <n v="79553"/>
    <n v="0"/>
    <x v="0"/>
    <x v="3"/>
  </r>
  <r>
    <x v="23"/>
    <x v="2"/>
    <n v="0.90909090909090906"/>
    <n v="0.93333333333333324"/>
    <n v="5.3571428571428568E-2"/>
    <n v="9.0909090909090912E-2"/>
    <n v="37560"/>
    <n v="0"/>
    <x v="2"/>
    <x v="3"/>
  </r>
  <r>
    <x v="48"/>
    <x v="1"/>
    <n v="0.81818181818181823"/>
    <n v="0.93333333333333324"/>
    <n v="2.8571428571428571E-2"/>
    <n v="0.18181818181818182"/>
    <n v="77876"/>
    <n v="0"/>
    <x v="0"/>
    <x v="1"/>
  </r>
  <r>
    <x v="29"/>
    <x v="2"/>
    <n v="1"/>
    <n v="0.93333333333333324"/>
    <n v="7.1428571428571425E-2"/>
    <n v="0"/>
    <n v="44020"/>
    <n v="0"/>
    <x v="1"/>
    <x v="3"/>
  </r>
  <r>
    <x v="7"/>
    <x v="2"/>
    <n v="1"/>
    <n v="0.93150684931506844"/>
    <n v="2.9411764705882349E-2"/>
    <n v="0"/>
    <n v="89085"/>
    <n v="0"/>
    <x v="1"/>
    <x v="1"/>
  </r>
  <r>
    <x v="29"/>
    <x v="3"/>
    <n v="0.86363636363636365"/>
    <n v="0.93150684931506844"/>
    <n v="2.9411764705882349E-2"/>
    <n v="0.13636363636363635"/>
    <n v="44020"/>
    <n v="0"/>
    <x v="0"/>
    <x v="3"/>
  </r>
  <r>
    <x v="49"/>
    <x v="3"/>
    <n v="0.77272727272727271"/>
    <n v="0.93103448275862066"/>
    <n v="7.407407407407407E-2"/>
    <n v="0.22727272727272727"/>
    <n v="80699"/>
    <n v="0"/>
    <x v="0"/>
    <x v="3"/>
  </r>
  <r>
    <x v="46"/>
    <x v="2"/>
    <n v="0.72727272727272729"/>
    <n v="0.93103448275862066"/>
    <n v="3.7037037037037035E-2"/>
    <n v="0.27272727272727271"/>
    <n v="52765"/>
    <n v="0"/>
    <x v="0"/>
    <x v="3"/>
  </r>
  <r>
    <x v="22"/>
    <x v="1"/>
    <n v="0.95454545454545459"/>
    <n v="0.92982456140350878"/>
    <n v="0"/>
    <n v="4.5454545454545456E-2"/>
    <n v="83035"/>
    <n v="0"/>
    <x v="1"/>
    <x v="0"/>
  </r>
  <r>
    <x v="45"/>
    <x v="1"/>
    <n v="0.81818181818181823"/>
    <n v="0.92957746478873238"/>
    <n v="1.5151515151515152E-2"/>
    <n v="0.18181818181818182"/>
    <n v="62782"/>
    <n v="0"/>
    <x v="0"/>
    <x v="1"/>
  </r>
  <r>
    <x v="21"/>
    <x v="4"/>
    <n v="0.72727272727272729"/>
    <n v="0.9285714285714286"/>
    <n v="0"/>
    <n v="0.27272727272727271"/>
    <n v="54123"/>
    <n v="0"/>
    <x v="0"/>
    <x v="0"/>
  </r>
  <r>
    <x v="24"/>
    <x v="4"/>
    <n v="0.81818181818181823"/>
    <n v="0.9285714285714286"/>
    <n v="4.6153846153846156E-2"/>
    <n v="0.18181818181818182"/>
    <n v="36399"/>
    <n v="0"/>
    <x v="0"/>
    <x v="2"/>
  </r>
  <r>
    <x v="34"/>
    <x v="0"/>
    <n v="0.77272727272727271"/>
    <n v="0.9285714285714286"/>
    <n v="0"/>
    <n v="0.22727272727272727"/>
    <n v="35728"/>
    <n v="0"/>
    <x v="0"/>
    <x v="2"/>
  </r>
  <r>
    <x v="27"/>
    <x v="3"/>
    <n v="0.90909090909090906"/>
    <n v="0.9285714285714286"/>
    <n v="5.7692307692307689E-2"/>
    <n v="9.0909090909090912E-2"/>
    <n v="46149"/>
    <n v="0"/>
    <x v="2"/>
    <x v="3"/>
  </r>
  <r>
    <x v="43"/>
    <x v="1"/>
    <n v="0.72727272727272729"/>
    <n v="0.92771084337349397"/>
    <n v="5.1948051948051945E-2"/>
    <n v="0.27272727272727271"/>
    <n v="45880"/>
    <n v="0"/>
    <x v="0"/>
    <x v="1"/>
  </r>
  <r>
    <x v="11"/>
    <x v="1"/>
    <n v="0.81818181818181823"/>
    <n v="0.92727272727272725"/>
    <n v="0"/>
    <n v="0.18181818181818182"/>
    <n v="75277"/>
    <n v="0"/>
    <x v="0"/>
    <x v="0"/>
  </r>
  <r>
    <x v="12"/>
    <x v="0"/>
    <n v="0.86363636363636365"/>
    <n v="0.92727272727272725"/>
    <n v="9.8039215686274522E-2"/>
    <n v="0.13636363636363635"/>
    <n v="74159"/>
    <n v="0"/>
    <x v="0"/>
    <x v="0"/>
  </r>
  <r>
    <x v="30"/>
    <x v="5"/>
    <n v="0.86363636363636365"/>
    <n v="0.92727272727272725"/>
    <n v="1.9607843137254902E-2"/>
    <n v="0.13636363636363635"/>
    <n v="82692"/>
    <n v="0"/>
    <x v="0"/>
    <x v="3"/>
  </r>
  <r>
    <x v="2"/>
    <x v="2"/>
    <n v="0.90909090909090906"/>
    <n v="0.92682926829268297"/>
    <n v="3.9473684210526314E-2"/>
    <n v="9.0909090909090912E-2"/>
    <n v="42012"/>
    <n v="0"/>
    <x v="2"/>
    <x v="1"/>
  </r>
  <r>
    <x v="14"/>
    <x v="1"/>
    <n v="0.77272727272727271"/>
    <n v="0.92682926829268297"/>
    <n v="6.5789473684210523E-2"/>
    <n v="0.22727272727272727"/>
    <n v="65366"/>
    <n v="0"/>
    <x v="0"/>
    <x v="2"/>
  </r>
  <r>
    <x v="39"/>
    <x v="4"/>
    <n v="0.95454545454545459"/>
    <n v="0.92682926829268297"/>
    <n v="0.10526315789473684"/>
    <n v="4.5454545454545456E-2"/>
    <n v="71787"/>
    <n v="0"/>
    <x v="2"/>
    <x v="0"/>
  </r>
  <r>
    <x v="25"/>
    <x v="0"/>
    <n v="0.77272727272727271"/>
    <n v="0.92682926829268297"/>
    <n v="0"/>
    <n v="0.22727272727272727"/>
    <n v="40435"/>
    <n v="0"/>
    <x v="0"/>
    <x v="1"/>
  </r>
  <r>
    <x v="38"/>
    <x v="1"/>
    <n v="1"/>
    <n v="0.92647058823529416"/>
    <n v="6.3492063492063489E-2"/>
    <n v="0"/>
    <n v="84043"/>
    <n v="0"/>
    <x v="1"/>
    <x v="0"/>
  </r>
  <r>
    <x v="38"/>
    <x v="0"/>
    <n v="0.81818181818181823"/>
    <n v="0.92647058823529416"/>
    <n v="4.7619047619047616E-2"/>
    <n v="0.18181818181818182"/>
    <n v="84043"/>
    <n v="0"/>
    <x v="0"/>
    <x v="0"/>
  </r>
  <r>
    <x v="1"/>
    <x v="4"/>
    <n v="0.72727272727272729"/>
    <n v="0.92592592592592593"/>
    <n v="1.3333333333333334E-2"/>
    <n v="0.27272727272727271"/>
    <n v="66433"/>
    <n v="0"/>
    <x v="0"/>
    <x v="1"/>
  </r>
  <r>
    <x v="10"/>
    <x v="0"/>
    <n v="0.72727272727272729"/>
    <n v="0.92592592592592593"/>
    <n v="0"/>
    <n v="0.27272727272727271"/>
    <n v="59857"/>
    <n v="0"/>
    <x v="0"/>
    <x v="2"/>
  </r>
  <r>
    <x v="25"/>
    <x v="4"/>
    <n v="0.95454545454545459"/>
    <n v="0.92592592592592593"/>
    <n v="0.06"/>
    <n v="4.5454545454545456E-2"/>
    <n v="40435"/>
    <n v="0"/>
    <x v="1"/>
    <x v="1"/>
  </r>
  <r>
    <x v="16"/>
    <x v="2"/>
    <n v="0.77272727272727271"/>
    <n v="0.9242424242424242"/>
    <n v="1.6393442622950821E-2"/>
    <n v="0.22727272727272727"/>
    <n v="61425"/>
    <n v="0"/>
    <x v="0"/>
    <x v="2"/>
  </r>
  <r>
    <x v="5"/>
    <x v="2"/>
    <n v="0.72727272727272729"/>
    <n v="0.92307692307692302"/>
    <n v="8.3333333333333315E-2"/>
    <n v="0.27272727272727271"/>
    <n v="42493"/>
    <n v="0"/>
    <x v="0"/>
    <x v="3"/>
  </r>
  <r>
    <x v="42"/>
    <x v="1"/>
    <n v="0.86363636363636365"/>
    <n v="0.92307692307692302"/>
    <n v="0.1388888888888889"/>
    <n v="0.13636363636363635"/>
    <n v="84504"/>
    <n v="0"/>
    <x v="0"/>
    <x v="2"/>
  </r>
  <r>
    <x v="42"/>
    <x v="3"/>
    <n v="0.72727272727272729"/>
    <n v="0.92307692307692302"/>
    <n v="5.5555555555555552E-2"/>
    <n v="0.27272727272727271"/>
    <n v="84504"/>
    <n v="0"/>
    <x v="0"/>
    <x v="2"/>
  </r>
  <r>
    <x v="46"/>
    <x v="5"/>
    <n v="0.81818181818181823"/>
    <n v="0.92307692307692302"/>
    <n v="0.05"/>
    <n v="0.18181818181818182"/>
    <n v="52765"/>
    <n v="0"/>
    <x v="0"/>
    <x v="3"/>
  </r>
  <r>
    <x v="1"/>
    <x v="3"/>
    <n v="0.86363636363636365"/>
    <n v="0.92207792207792205"/>
    <n v="7.0422535211267609E-2"/>
    <n v="0.13636363636363635"/>
    <n v="66433"/>
    <n v="0"/>
    <x v="0"/>
    <x v="1"/>
  </r>
  <r>
    <x v="10"/>
    <x v="5"/>
    <n v="0.90909090909090906"/>
    <n v="0.92207792207792205"/>
    <n v="5.6338028169014093E-2"/>
    <n v="9.0909090909090912E-2"/>
    <n v="59857"/>
    <n v="0"/>
    <x v="2"/>
    <x v="2"/>
  </r>
  <r>
    <x v="33"/>
    <x v="2"/>
    <n v="1"/>
    <n v="0.92063492063492058"/>
    <n v="6.8965517241379309E-2"/>
    <n v="0"/>
    <n v="36280"/>
    <n v="0"/>
    <x v="1"/>
    <x v="0"/>
  </r>
  <r>
    <x v="13"/>
    <x v="1"/>
    <n v="0.77272727272727271"/>
    <n v="0.91891891891891897"/>
    <n v="2.9411764705882349E-2"/>
    <n v="0.22727272727272727"/>
    <n v="68844"/>
    <n v="0"/>
    <x v="0"/>
    <x v="0"/>
  </r>
  <r>
    <x v="15"/>
    <x v="2"/>
    <n v="0.86363636363636365"/>
    <n v="0.91891891891891897"/>
    <n v="5.8823529411764698E-2"/>
    <n v="0.13636363636363635"/>
    <n v="71628"/>
    <n v="0"/>
    <x v="0"/>
    <x v="2"/>
  </r>
  <r>
    <x v="20"/>
    <x v="4"/>
    <n v="1"/>
    <n v="0.91891891891891897"/>
    <n v="1.4705882352941175E-2"/>
    <n v="0"/>
    <n v="80497"/>
    <n v="0"/>
    <x v="1"/>
    <x v="2"/>
  </r>
  <r>
    <x v="9"/>
    <x v="2"/>
    <n v="0.81818181818181823"/>
    <n v="0.91780821917808231"/>
    <n v="7.4626865671641784E-2"/>
    <n v="0.18181818181818182"/>
    <n v="38287"/>
    <n v="0"/>
    <x v="0"/>
    <x v="1"/>
  </r>
  <r>
    <x v="35"/>
    <x v="5"/>
    <n v="0.81818181818181823"/>
    <n v="0.9152542372881356"/>
    <n v="5.5555555555555552E-2"/>
    <n v="0.18181818181818182"/>
    <n v="61034"/>
    <n v="0"/>
    <x v="0"/>
    <x v="2"/>
  </r>
  <r>
    <x v="12"/>
    <x v="5"/>
    <n v="0.86363636363636365"/>
    <n v="0.9152542372881356"/>
    <n v="3.7037037037037035E-2"/>
    <n v="0.13636363636363635"/>
    <n v="74159"/>
    <n v="0"/>
    <x v="0"/>
    <x v="0"/>
  </r>
  <r>
    <x v="37"/>
    <x v="1"/>
    <n v="0.90909090909090906"/>
    <n v="0.9152542372881356"/>
    <n v="0"/>
    <n v="9.0909090909090912E-2"/>
    <n v="57209"/>
    <n v="0"/>
    <x v="2"/>
    <x v="3"/>
  </r>
  <r>
    <x v="16"/>
    <x v="5"/>
    <n v="0.77272727272727271"/>
    <n v="0.91304347826086951"/>
    <n v="2.3809523809523808E-2"/>
    <n v="0.22727272727272727"/>
    <n v="61425"/>
    <n v="0"/>
    <x v="0"/>
    <x v="2"/>
  </r>
  <r>
    <x v="22"/>
    <x v="5"/>
    <n v="0.86363636363636365"/>
    <n v="0.91304347826086951"/>
    <n v="1.5873015873015872E-2"/>
    <n v="0.13636363636363635"/>
    <n v="83035"/>
    <n v="0"/>
    <x v="0"/>
    <x v="0"/>
  </r>
  <r>
    <x v="40"/>
    <x v="2"/>
    <n v="0.77272727272727271"/>
    <n v="0.91228070175438591"/>
    <n v="5.7692307692307689E-2"/>
    <n v="0.22727272727272727"/>
    <n v="49957"/>
    <n v="0"/>
    <x v="0"/>
    <x v="0"/>
  </r>
  <r>
    <x v="24"/>
    <x v="2"/>
    <n v="0.72727272727272729"/>
    <n v="0.91228070175438591"/>
    <n v="0"/>
    <n v="0.27272727272727271"/>
    <n v="36399"/>
    <n v="0"/>
    <x v="0"/>
    <x v="2"/>
  </r>
  <r>
    <x v="23"/>
    <x v="4"/>
    <n v="0.86363636363636365"/>
    <n v="0.91176470588235292"/>
    <n v="0.12903225806451613"/>
    <n v="0.13636363636363635"/>
    <n v="37560"/>
    <n v="0"/>
    <x v="0"/>
    <x v="3"/>
  </r>
  <r>
    <x v="30"/>
    <x v="4"/>
    <n v="0.81818181818181823"/>
    <n v="0.91044776119402981"/>
    <n v="6.5573770491803282E-2"/>
    <n v="0.18181818181818182"/>
    <n v="82692"/>
    <n v="0"/>
    <x v="0"/>
    <x v="3"/>
  </r>
  <r>
    <x v="3"/>
    <x v="5"/>
    <n v="1"/>
    <n v="0.90909090909090906"/>
    <n v="0.13333333333333333"/>
    <n v="0"/>
    <n v="37736"/>
    <n v="0"/>
    <x v="2"/>
    <x v="2"/>
  </r>
  <r>
    <x v="15"/>
    <x v="0"/>
    <n v="0.77272727272727271"/>
    <n v="0.90909090909090906"/>
    <n v="3.3333333333333333E-2"/>
    <n v="0.22727272727272727"/>
    <n v="71628"/>
    <n v="0"/>
    <x v="0"/>
    <x v="2"/>
  </r>
  <r>
    <x v="17"/>
    <x v="0"/>
    <n v="0.72727272727272729"/>
    <n v="0.90769230769230769"/>
    <n v="0"/>
    <n v="0.27272727272727271"/>
    <n v="79553"/>
    <n v="0"/>
    <x v="0"/>
    <x v="3"/>
  </r>
  <r>
    <x v="18"/>
    <x v="5"/>
    <n v="0.95454545454545459"/>
    <n v="0.90697674418604646"/>
    <n v="0.12820512820512819"/>
    <n v="4.5454545454545456E-2"/>
    <n v="89427"/>
    <n v="0"/>
    <x v="2"/>
    <x v="1"/>
  </r>
  <r>
    <x v="37"/>
    <x v="3"/>
    <n v="1"/>
    <n v="0.90625"/>
    <n v="5.1724137931034482E-2"/>
    <n v="0"/>
    <n v="57209"/>
    <n v="0"/>
    <x v="1"/>
    <x v="3"/>
  </r>
  <r>
    <x v="49"/>
    <x v="2"/>
    <n v="0.95454545454545459"/>
    <n v="0.90476190476190477"/>
    <n v="7.8947368421052627E-2"/>
    <n v="4.5454545454545456E-2"/>
    <n v="80699"/>
    <n v="0"/>
    <x v="1"/>
    <x v="3"/>
  </r>
  <r>
    <x v="36"/>
    <x v="4"/>
    <n v="0.95454545454545459"/>
    <n v="0.90476190476190477"/>
    <n v="0.10526315789473684"/>
    <n v="4.5454545454545456E-2"/>
    <n v="52195"/>
    <n v="0"/>
    <x v="2"/>
    <x v="0"/>
  </r>
  <r>
    <x v="17"/>
    <x v="3"/>
    <n v="0.90909090909090906"/>
    <n v="0.90163934426229497"/>
    <n v="3.6363636363636362E-2"/>
    <n v="9.0909090909090912E-2"/>
    <n v="79553"/>
    <n v="0"/>
    <x v="2"/>
    <x v="3"/>
  </r>
  <r>
    <x v="0"/>
    <x v="2"/>
    <n v="0.95454545454545459"/>
    <n v="0.9"/>
    <n v="0.1388888888888889"/>
    <n v="4.5454545454545456E-2"/>
    <n v="55448"/>
    <n v="0"/>
    <x v="2"/>
    <x v="0"/>
  </r>
  <r>
    <x v="42"/>
    <x v="4"/>
    <n v="0.90909090909090906"/>
    <n v="0.89795918367346939"/>
    <n v="4.5454545454545456E-2"/>
    <n v="9.0909090909090912E-2"/>
    <n v="84504"/>
    <n v="1724.5714285713966"/>
    <x v="2"/>
    <x v="2"/>
  </r>
  <r>
    <x v="21"/>
    <x v="2"/>
    <n v="0.72727272727272729"/>
    <n v="0.89795918367346939"/>
    <n v="9.0909090909090912E-2"/>
    <n v="0.27272727272727271"/>
    <n v="54123"/>
    <n v="1104.5510204081429"/>
    <x v="0"/>
    <x v="0"/>
  </r>
  <r>
    <x v="2"/>
    <x v="5"/>
    <n v="0.77272727272727271"/>
    <n v="0.89743589743589747"/>
    <n v="0.11428571428571428"/>
    <n v="0.22727272727272727"/>
    <n v="42012"/>
    <n v="1077.2307692307354"/>
    <x v="0"/>
    <x v="1"/>
  </r>
  <r>
    <x v="8"/>
    <x v="2"/>
    <n v="0.86363636363636365"/>
    <n v="0.89655172413793105"/>
    <n v="1.9230769230769232E-2"/>
    <n v="0.13636363636363635"/>
    <n v="41091"/>
    <n v="1416.9310344827306"/>
    <x v="0"/>
    <x v="0"/>
  </r>
  <r>
    <x v="26"/>
    <x v="5"/>
    <n v="0.72727272727272729"/>
    <n v="0.89655172413793105"/>
    <n v="1.9230769230769232E-2"/>
    <n v="0.27272727272727271"/>
    <n v="58061"/>
    <n v="2002.1034482758223"/>
    <x v="0"/>
    <x v="3"/>
  </r>
  <r>
    <x v="17"/>
    <x v="1"/>
    <n v="1"/>
    <n v="0.89583333333333348"/>
    <n v="0"/>
    <n v="0"/>
    <n v="79553"/>
    <n v="3314.708333333258"/>
    <x v="2"/>
    <x v="3"/>
  </r>
  <r>
    <x v="30"/>
    <x v="2"/>
    <n v="0.72727272727272729"/>
    <n v="0.89583333333333348"/>
    <n v="4.6511627906976744E-2"/>
    <n v="0.27272727272727271"/>
    <n v="82692"/>
    <n v="3445.4999999999218"/>
    <x v="0"/>
    <x v="3"/>
  </r>
  <r>
    <x v="24"/>
    <x v="3"/>
    <n v="0.90909090909090906"/>
    <n v="0.89473684210526316"/>
    <n v="3.9215686274509803E-2"/>
    <n v="9.0909090909090912E-2"/>
    <n v="36399"/>
    <n v="1915.7368421052659"/>
    <x v="2"/>
    <x v="2"/>
  </r>
  <r>
    <x v="41"/>
    <x v="2"/>
    <n v="0.81818181818181823"/>
    <n v="0.8936170212765957"/>
    <n v="0"/>
    <n v="0.18181818181818182"/>
    <n v="38396"/>
    <n v="2450.8085106383178"/>
    <x v="0"/>
    <x v="3"/>
  </r>
  <r>
    <x v="16"/>
    <x v="1"/>
    <n v="0.72727272727272729"/>
    <n v="0.8936170212765957"/>
    <n v="2.3809523809523808E-2"/>
    <n v="0.27272727272727271"/>
    <n v="61425"/>
    <n v="3920.7446808510954"/>
    <x v="0"/>
    <x v="2"/>
  </r>
  <r>
    <x v="27"/>
    <x v="1"/>
    <n v="0.81818181818181823"/>
    <n v="0.8936170212765957"/>
    <n v="7.1428571428571425E-2"/>
    <n v="0.18181818181818182"/>
    <n v="46149"/>
    <n v="2945.6808510638534"/>
    <x v="0"/>
    <x v="3"/>
  </r>
  <r>
    <x v="34"/>
    <x v="1"/>
    <n v="0.95454545454545459"/>
    <n v="0.8928571428571429"/>
    <n v="0.1"/>
    <n v="4.5454545454545456E-2"/>
    <n v="35728"/>
    <n v="2551.9999999999782"/>
    <x v="2"/>
    <x v="2"/>
  </r>
  <r>
    <x v="49"/>
    <x v="1"/>
    <n v="0.72727272727272729"/>
    <n v="0.89189189189189189"/>
    <n v="0"/>
    <n v="0.27272727272727271"/>
    <n v="80699"/>
    <n v="6543.1621621621307"/>
    <x v="0"/>
    <x v="3"/>
  </r>
  <r>
    <x v="49"/>
    <x v="0"/>
    <n v="0.90909090909090906"/>
    <n v="0.89130434782608692"/>
    <n v="7.3170731707317069E-2"/>
    <n v="9.0909090909090912E-2"/>
    <n v="80699"/>
    <n v="7017.3043478261461"/>
    <x v="2"/>
    <x v="3"/>
  </r>
  <r>
    <x v="20"/>
    <x v="5"/>
    <n v="0.77272727272727271"/>
    <n v="0.89130434782608692"/>
    <n v="0"/>
    <n v="0.22727272727272727"/>
    <n v="80497"/>
    <n v="6999.7391304348421"/>
    <x v="0"/>
    <x v="2"/>
  </r>
  <r>
    <x v="24"/>
    <x v="1"/>
    <n v="0.81818181818181823"/>
    <n v="0.89090909090909098"/>
    <n v="0"/>
    <n v="0.18181818181818182"/>
    <n v="36399"/>
    <n v="3308.9999999999909"/>
    <x v="0"/>
    <x v="2"/>
  </r>
  <r>
    <x v="7"/>
    <x v="3"/>
    <n v="0.95454545454545459"/>
    <n v="0.88888888888888884"/>
    <n v="0.10416666666666669"/>
    <n v="4.5454545454545456E-2"/>
    <n v="89085"/>
    <n v="9898.3333333333612"/>
    <x v="2"/>
    <x v="1"/>
  </r>
  <r>
    <x v="20"/>
    <x v="2"/>
    <n v="1"/>
    <n v="0.88888888888888884"/>
    <n v="9.375E-2"/>
    <n v="0"/>
    <n v="80497"/>
    <n v="8944.1111111111368"/>
    <x v="2"/>
    <x v="2"/>
  </r>
  <r>
    <x v="9"/>
    <x v="1"/>
    <n v="0.77272727272727271"/>
    <n v="0.88636363636363635"/>
    <n v="5.128205128205128E-2"/>
    <n v="0.22727272727272727"/>
    <n v="38287"/>
    <n v="5220.9545454545296"/>
    <x v="0"/>
    <x v="1"/>
  </r>
  <r>
    <x v="48"/>
    <x v="0"/>
    <n v="0.77272727272727271"/>
    <n v="0.88571428571428568"/>
    <n v="0.12903225806451613"/>
    <n v="0.22727272727272727"/>
    <n v="77876"/>
    <n v="11125.142857142873"/>
    <x v="0"/>
    <x v="1"/>
  </r>
  <r>
    <x v="8"/>
    <x v="3"/>
    <n v="0.90909090909090906"/>
    <n v="0.88461538461538458"/>
    <n v="0"/>
    <n v="9.0909090909090912E-2"/>
    <n v="41091"/>
    <n v="6321.6923076923431"/>
    <x v="2"/>
    <x v="0"/>
  </r>
  <r>
    <x v="33"/>
    <x v="3"/>
    <n v="0.86363636363636365"/>
    <n v="0.88461538461538458"/>
    <n v="4.3478260869565216E-2"/>
    <n v="0.13636363636363635"/>
    <n v="36280"/>
    <n v="5581.5384615384928"/>
    <x v="0"/>
    <x v="0"/>
  </r>
  <r>
    <x v="3"/>
    <x v="0"/>
    <n v="1"/>
    <n v="0.88372093023255816"/>
    <n v="5.2631578947368418E-2"/>
    <n v="0"/>
    <n v="37736"/>
    <n v="6143.0697674418579"/>
    <x v="2"/>
    <x v="2"/>
  </r>
  <r>
    <x v="27"/>
    <x v="2"/>
    <n v="0.81818181818181823"/>
    <n v="0.88235294117647056"/>
    <n v="0.16666666666666663"/>
    <n v="0.18181818181818182"/>
    <n v="46149"/>
    <n v="8143.941176470591"/>
    <x v="0"/>
    <x v="3"/>
  </r>
  <r>
    <x v="5"/>
    <x v="1"/>
    <n v="0.72727272727272729"/>
    <n v="0.875"/>
    <n v="4.7619047619047616E-2"/>
    <n v="0.27272727272727271"/>
    <n v="42493"/>
    <n v="10623.25"/>
    <x v="0"/>
    <x v="3"/>
  </r>
  <r>
    <x v="21"/>
    <x v="0"/>
    <n v="0.95454545454545459"/>
    <n v="0.875"/>
    <n v="0.10714285714285714"/>
    <n v="4.5454545454545456E-2"/>
    <n v="54123"/>
    <n v="13530.750000000002"/>
    <x v="2"/>
    <x v="0"/>
  </r>
  <r>
    <x v="26"/>
    <x v="0"/>
    <n v="0.86363636363636365"/>
    <n v="0.875"/>
    <n v="2.8571428571428571E-2"/>
    <n v="0.13636363636363635"/>
    <n v="58061"/>
    <n v="14515.250000000002"/>
    <x v="0"/>
    <x v="3"/>
  </r>
  <r>
    <x v="26"/>
    <x v="2"/>
    <n v="1"/>
    <n v="0.875"/>
    <n v="0.11904761904761903"/>
    <n v="0"/>
    <n v="58061"/>
    <n v="14515.250000000002"/>
    <x v="2"/>
    <x v="3"/>
  </r>
  <r>
    <x v="0"/>
    <x v="1"/>
    <n v="0.81818181818181823"/>
    <n v="0.87179487179487181"/>
    <n v="8.8235294117647065E-2"/>
    <n v="0.18181818181818182"/>
    <n v="55448"/>
    <n v="15639.179487179468"/>
    <x v="0"/>
    <x v="0"/>
  </r>
  <r>
    <x v="41"/>
    <x v="0"/>
    <n v="0.95454545454545459"/>
    <n v="0.87179487179487181"/>
    <n v="8.8235294117647065E-2"/>
    <n v="4.5454545454545456E-2"/>
    <n v="38396"/>
    <n v="10829.641025641014"/>
    <x v="2"/>
    <x v="3"/>
  </r>
  <r>
    <x v="47"/>
    <x v="3"/>
    <n v="0.86363636363636365"/>
    <n v="0.87179487179487181"/>
    <n v="2.9411764705882349E-2"/>
    <n v="0.13636363636363635"/>
    <n v="86706"/>
    <n v="24455.538461538436"/>
    <x v="0"/>
    <x v="0"/>
  </r>
  <r>
    <x v="5"/>
    <x v="4"/>
    <n v="0.86363636363636365"/>
    <n v="0.87096774193548387"/>
    <n v="0.14814814814814814"/>
    <n v="0.13636363636363635"/>
    <n v="42493"/>
    <n v="12336.677419354852"/>
    <x v="0"/>
    <x v="3"/>
  </r>
  <r>
    <x v="22"/>
    <x v="3"/>
    <n v="0.90909090909090906"/>
    <n v="0.87096774193548387"/>
    <n v="7.407407407407407E-2"/>
    <n v="9.0909090909090912E-2"/>
    <n v="83035"/>
    <n v="24106.935483870988"/>
    <x v="2"/>
    <x v="0"/>
  </r>
  <r>
    <x v="17"/>
    <x v="4"/>
    <n v="1"/>
    <n v="0.8666666666666667"/>
    <n v="0.11538461538461538"/>
    <n v="0"/>
    <n v="79553"/>
    <n v="26517.666666666628"/>
    <x v="2"/>
    <x v="3"/>
  </r>
  <r>
    <x v="19"/>
    <x v="2"/>
    <n v="0.81818181818181823"/>
    <n v="0.86363636363636365"/>
    <n v="0.13157894736842105"/>
    <n v="0.18181818181818182"/>
    <n v="55298"/>
    <n v="20108.363636363658"/>
    <x v="0"/>
    <x v="2"/>
  </r>
  <r>
    <x v="40"/>
    <x v="0"/>
    <n v="0.90909090909090906"/>
    <n v="0.86111111111111116"/>
    <n v="6.4516129032258063E-2"/>
    <n v="9.0909090909090912E-2"/>
    <n v="49957"/>
    <n v="19427.722222222208"/>
    <x v="2"/>
    <x v="0"/>
  </r>
  <r>
    <x v="14"/>
    <x v="0"/>
    <n v="0.77272727272727271"/>
    <n v="0.86046511627906985"/>
    <n v="2.7027027027027025E-2"/>
    <n v="0.22727272727272727"/>
    <n v="65366"/>
    <n v="25842.372093023234"/>
    <x v="0"/>
    <x v="2"/>
  </r>
  <r>
    <x v="34"/>
    <x v="5"/>
    <n v="1"/>
    <n v="0.86046511627906985"/>
    <n v="0.13513513513513514"/>
    <n v="0"/>
    <n v="35728"/>
    <n v="14125.02325581394"/>
    <x v="2"/>
    <x v="2"/>
  </r>
  <r>
    <x v="31"/>
    <x v="0"/>
    <n v="0.90909090909090906"/>
    <n v="0.86046511627906985"/>
    <n v="5.405405405405405E-2"/>
    <n v="9.0909090909090912E-2"/>
    <n v="39915"/>
    <n v="15780.348837209291"/>
    <x v="2"/>
    <x v="0"/>
  </r>
  <r>
    <x v="35"/>
    <x v="1"/>
    <n v="1"/>
    <n v="0.8571428571428571"/>
    <n v="5.5555555555555552E-2"/>
    <n v="0"/>
    <n v="61034"/>
    <n v="26157.428571428609"/>
    <x v="2"/>
    <x v="2"/>
  </r>
  <r>
    <x v="12"/>
    <x v="3"/>
    <n v="0.90909090909090906"/>
    <n v="0.8571428571428571"/>
    <n v="2.7777777777777776E-2"/>
    <n v="9.0909090909090912E-2"/>
    <n v="74159"/>
    <n v="31782.428571428612"/>
    <x v="2"/>
    <x v="0"/>
  </r>
  <r>
    <x v="23"/>
    <x v="1"/>
    <n v="0.77272727272727271"/>
    <n v="0.8571428571428571"/>
    <n v="2.7777777777777776E-2"/>
    <n v="0.22727272727272727"/>
    <n v="37560"/>
    <n v="16097.142857142881"/>
    <x v="0"/>
    <x v="3"/>
  </r>
  <r>
    <x v="40"/>
    <x v="4"/>
    <n v="0.77272727272727271"/>
    <n v="0.85294117647058831"/>
    <n v="0.13793103448275862"/>
    <n v="0.22727272727272727"/>
    <n v="49957"/>
    <n v="23509.176470588223"/>
    <x v="0"/>
    <x v="0"/>
  </r>
  <r>
    <x v="46"/>
    <x v="4"/>
    <n v="0.95454545454545459"/>
    <n v="0.85294117647058831"/>
    <n v="0.13793103448275862"/>
    <n v="4.5454545454545456E-2"/>
    <n v="52765"/>
    <n v="24830.588235294108"/>
    <x v="2"/>
    <x v="3"/>
  </r>
  <r>
    <x v="44"/>
    <x v="5"/>
    <n v="0.95454545454545459"/>
    <n v="0.85"/>
    <n v="2.9411764705882349E-2"/>
    <n v="4.5454545454545456E-2"/>
    <n v="37716"/>
    <n v="18858"/>
    <x v="2"/>
    <x v="3"/>
  </r>
  <r>
    <x v="48"/>
    <x v="2"/>
    <n v="0.86363636363636365"/>
    <n v="0.83870967741935487"/>
    <n v="3.8461538461538464E-2"/>
    <n v="0.13636363636363635"/>
    <n v="77876"/>
    <n v="47730.451612903198"/>
    <x v="0"/>
    <x v="1"/>
  </r>
  <r>
    <x v="32"/>
    <x v="1"/>
    <n v="1"/>
    <n v="0.83333333333333348"/>
    <n v="0.13333333333333333"/>
    <n v="0"/>
    <n v="59133"/>
    <n v="39421.999999999942"/>
    <x v="0"/>
    <x v="0"/>
  </r>
  <r>
    <x v="8"/>
    <x v="4"/>
    <n v="0.90909090909090906"/>
    <n v="0.82857142857142863"/>
    <n v="0.17241379310344829"/>
    <n v="9.0909090909090912E-2"/>
    <n v="41091"/>
    <n v="29350.714285714264"/>
    <x v="0"/>
    <x v="0"/>
  </r>
  <r>
    <x v="19"/>
    <x v="1"/>
    <n v="0.86363636363636365"/>
    <n v="0.82857142857142863"/>
    <n v="0.17241379310344829"/>
    <n v="0.13636363636363635"/>
    <n v="55298"/>
    <n v="39498.571428571413"/>
    <x v="0"/>
    <x v="2"/>
  </r>
  <r>
    <x v="32"/>
    <x v="2"/>
    <n v="0.90909090909090906"/>
    <n v="0.8125"/>
    <n v="0"/>
    <n v="9.0909090909090912E-2"/>
    <n v="59133"/>
    <n v="51741.375"/>
    <x v="0"/>
    <x v="0"/>
  </r>
  <r>
    <x v="34"/>
    <x v="3"/>
    <n v="0.86363636363636365"/>
    <n v="0.80645161290322576"/>
    <n v="0.12"/>
    <n v="0.13636363636363635"/>
    <n v="35728"/>
    <n v="33422.967741935492"/>
    <x v="0"/>
    <x v="2"/>
  </r>
  <r>
    <x v="45"/>
    <x v="2"/>
    <n v="0.77272727272727271"/>
    <n v="0.80645161290322576"/>
    <n v="0.2"/>
    <n v="0.22727272727272727"/>
    <n v="62782"/>
    <n v="58731.548387096802"/>
    <x v="0"/>
    <x v="1"/>
  </r>
  <r>
    <x v="48"/>
    <x v="3"/>
    <n v="0.72727272727272729"/>
    <n v="0.80645161290322576"/>
    <n v="0.08"/>
    <n v="0.27272727272727271"/>
    <n v="77876"/>
    <n v="72851.741935483908"/>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1FC233-521D-4B20-B1FB-EB5C369CE9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8" firstHeaderRow="1" firstDataRow="1" firstDataCol="1"/>
  <pivotFields count="10">
    <pivotField showAll="0"/>
    <pivotField showAll="0">
      <items count="7">
        <item x="3"/>
        <item x="0"/>
        <item x="1"/>
        <item x="2"/>
        <item x="5"/>
        <item x="4"/>
        <item t="default"/>
      </items>
    </pivotField>
    <pivotField numFmtId="9" showAll="0"/>
    <pivotField numFmtId="9" showAll="0"/>
    <pivotField numFmtId="9" showAll="0"/>
    <pivotField numFmtId="9" showAll="0"/>
    <pivotField showAll="0"/>
    <pivotField dataField="1" numFmtId="167" showAll="0"/>
    <pivotField showAll="0"/>
    <pivotField axis="axisRow" showAll="0">
      <items count="5">
        <item x="2"/>
        <item x="0"/>
        <item x="3"/>
        <item x="1"/>
        <item t="default"/>
      </items>
    </pivotField>
  </pivotFields>
  <rowFields count="1">
    <field x="9"/>
  </rowFields>
  <rowItems count="5">
    <i>
      <x/>
    </i>
    <i>
      <x v="1"/>
    </i>
    <i>
      <x v="2"/>
    </i>
    <i>
      <x v="3"/>
    </i>
    <i t="grand">
      <x/>
    </i>
  </rowItems>
  <colItems count="1">
    <i/>
  </colItems>
  <dataFields count="1">
    <dataField name="Sum of Cost_Leakage" fld="7" baseField="0" baseItem="0" numFmtId="167"/>
  </dataFields>
  <chartFormats count="5">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9" format="14" series="1">
      <pivotArea type="data" outline="0" fieldPosition="0">
        <references count="1">
          <reference field="4294967294" count="1" selected="0">
            <x v="0"/>
          </reference>
        </references>
      </pivotArea>
    </chartFormat>
    <chartFormat chart="29"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13BB12-37BD-4B44-A9EB-58ADB8B850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0">
    <pivotField showAll="0"/>
    <pivotField axis="axisRow" showAll="0">
      <items count="7">
        <item x="3"/>
        <item x="0"/>
        <item x="1"/>
        <item x="2"/>
        <item x="5"/>
        <item x="4"/>
        <item t="default"/>
      </items>
    </pivotField>
    <pivotField numFmtId="9" showAll="0"/>
    <pivotField numFmtId="9" showAll="0"/>
    <pivotField numFmtId="9" showAll="0"/>
    <pivotField numFmtId="9" showAll="0"/>
    <pivotField showAll="0"/>
    <pivotField dataField="1" numFmtId="167" showAll="0"/>
    <pivotField showAll="0"/>
    <pivotField showAll="0">
      <items count="5">
        <item x="2"/>
        <item x="0"/>
        <item x="3"/>
        <item x="1"/>
        <item t="default"/>
      </items>
    </pivotField>
  </pivotFields>
  <rowFields count="1">
    <field x="1"/>
  </rowFields>
  <rowItems count="7">
    <i>
      <x/>
    </i>
    <i>
      <x v="1"/>
    </i>
    <i>
      <x v="2"/>
    </i>
    <i>
      <x v="3"/>
    </i>
    <i>
      <x v="4"/>
    </i>
    <i>
      <x v="5"/>
    </i>
    <i t="grand">
      <x/>
    </i>
  </rowItems>
  <colItems count="1">
    <i/>
  </colItems>
  <dataFields count="1">
    <dataField name="Sum of Cost_Leakage" fld="7" baseField="0" baseItem="0" numFmtId="167"/>
  </dataFields>
  <chartFormats count="9">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 chart="13" format="9">
      <pivotArea type="data" outline="0" fieldPosition="0">
        <references count="2">
          <reference field="4294967294" count="1" selected="0">
            <x v="0"/>
          </reference>
          <reference field="1" count="1" selected="0">
            <x v="2"/>
          </reference>
        </references>
      </pivotArea>
    </chartFormat>
    <chartFormat chart="13" format="10">
      <pivotArea type="data" outline="0" fieldPosition="0">
        <references count="2">
          <reference field="4294967294" count="1" selected="0">
            <x v="0"/>
          </reference>
          <reference field="1" count="1" selected="0">
            <x v="3"/>
          </reference>
        </references>
      </pivotArea>
    </chartFormat>
    <chartFormat chart="13" format="11">
      <pivotArea type="data" outline="0" fieldPosition="0">
        <references count="2">
          <reference field="4294967294" count="1" selected="0">
            <x v="0"/>
          </reference>
          <reference field="1" count="1" selected="0">
            <x v="4"/>
          </reference>
        </references>
      </pivotArea>
    </chartFormat>
    <chartFormat chart="13" format="1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9EA28A-BC55-488F-B626-AEDF0629891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rowPageCount="1" colPageCount="1"/>
  <pivotFields count="10">
    <pivotField dataField="1" showAll="0"/>
    <pivotField showAll="0">
      <items count="7">
        <item x="3"/>
        <item x="0"/>
        <item x="1"/>
        <item x="2"/>
        <item x="5"/>
        <item x="4"/>
        <item t="default"/>
      </items>
    </pivotField>
    <pivotField numFmtId="9" showAll="0"/>
    <pivotField numFmtId="9" showAll="0"/>
    <pivotField numFmtId="9" showAll="0"/>
    <pivotField numFmtId="9" showAll="0"/>
    <pivotField showAll="0"/>
    <pivotField numFmtId="167" showAll="0"/>
    <pivotField axis="axisPage" showAll="0">
      <items count="4">
        <item x="0"/>
        <item x="1"/>
        <item x="2"/>
        <item t="default"/>
      </items>
    </pivotField>
    <pivotField axis="axisRow" showAll="0">
      <items count="5">
        <item x="2"/>
        <item x="0"/>
        <item x="3"/>
        <item x="1"/>
        <item t="default"/>
      </items>
    </pivotField>
  </pivotFields>
  <rowFields count="1">
    <field x="9"/>
  </rowFields>
  <rowItems count="5">
    <i>
      <x/>
    </i>
    <i>
      <x v="1"/>
    </i>
    <i>
      <x v="2"/>
    </i>
    <i>
      <x v="3"/>
    </i>
    <i t="grand">
      <x/>
    </i>
  </rowItems>
  <colItems count="1">
    <i/>
  </colItems>
  <pageFields count="1">
    <pageField fld="8" item="0" hier="-1"/>
  </pageFields>
  <dataFields count="1">
    <dataField name="Count of Emp_ID" fld="0" subtotal="count" baseField="0" baseItem="0"/>
  </dataFields>
  <chartFormats count="11">
    <chartFormat chart="0"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9" count="1" selected="0">
            <x v="0"/>
          </reference>
        </references>
      </pivotArea>
    </chartFormat>
    <chartFormat chart="12" format="11">
      <pivotArea type="data" outline="0" fieldPosition="0">
        <references count="2">
          <reference field="4294967294" count="1" selected="0">
            <x v="0"/>
          </reference>
          <reference field="9"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9" count="1" selected="0">
            <x v="0"/>
          </reference>
        </references>
      </pivotArea>
    </chartFormat>
    <chartFormat chart="17" format="14">
      <pivotArea type="data" outline="0" fieldPosition="0">
        <references count="2">
          <reference field="4294967294" count="1" selected="0">
            <x v="0"/>
          </reference>
          <reference field="9" count="1" selected="0">
            <x v="1"/>
          </reference>
        </references>
      </pivotArea>
    </chartFormat>
    <chartFormat chart="18" format="15" series="1">
      <pivotArea type="data" outline="0" fieldPosition="0">
        <references count="1">
          <reference field="4294967294" count="1" selected="0">
            <x v="0"/>
          </reference>
        </references>
      </pivotArea>
    </chartFormat>
    <chartFormat chart="18" format="16">
      <pivotArea type="data" outline="0" fieldPosition="0">
        <references count="2">
          <reference field="4294967294" count="1" selected="0">
            <x v="0"/>
          </reference>
          <reference field="9" count="1" selected="0">
            <x v="0"/>
          </reference>
        </references>
      </pivotArea>
    </chartFormat>
    <chartFormat chart="18" format="17">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CE5659-DD96-4F6E-BE91-56546DD1A698}"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7">
        <item x="3"/>
        <item x="0"/>
        <item x="1"/>
        <item x="2"/>
        <item x="5"/>
        <item x="4"/>
        <item t="default"/>
      </items>
    </pivotField>
    <pivotField numFmtId="9" showAll="0"/>
    <pivotField numFmtId="9" showAll="0"/>
    <pivotField numFmtId="9" showAll="0"/>
    <pivotField numFmtId="9" showAll="0"/>
    <pivotField showAll="0"/>
    <pivotField numFmtId="167" showAll="0"/>
    <pivotField showAll="0"/>
    <pivotField showAll="0">
      <items count="5">
        <item x="2"/>
        <item x="0"/>
        <item x="3"/>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5EFC81-5EBD-49A4-B032-69EB635C0E7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0">
    <pivotField showAll="0"/>
    <pivotField showAll="0"/>
    <pivotField numFmtId="9" showAll="0"/>
    <pivotField numFmtId="9" showAll="0"/>
    <pivotField numFmtId="9" showAll="0"/>
    <pivotField numFmtId="9" showAll="0"/>
    <pivotField showAll="0"/>
    <pivotField dataField="1" numFmtId="167" showAll="0"/>
    <pivotField axis="axisRow" multipleItemSelectionAllowed="1" showAll="0">
      <items count="4">
        <item x="0"/>
        <item h="1" x="1"/>
        <item x="2"/>
        <item t="default"/>
      </items>
    </pivotField>
    <pivotField showAll="0"/>
  </pivotFields>
  <rowFields count="1">
    <field x="8"/>
  </rowFields>
  <rowItems count="3">
    <i>
      <x/>
    </i>
    <i>
      <x v="2"/>
    </i>
    <i t="grand">
      <x/>
    </i>
  </rowItems>
  <colItems count="1">
    <i/>
  </colItems>
  <dataFields count="1">
    <dataField name="Sum of Cost_Leakage" fld="7" baseField="0" baseItem="0" numFmtId="167"/>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8" count="1" selected="0">
            <x v="0"/>
          </reference>
        </references>
      </pivotArea>
    </chartFormat>
    <chartFormat chart="7" format="20">
      <pivotArea type="data" outline="0" fieldPosition="0">
        <references count="2">
          <reference field="4294967294" count="1" selected="0">
            <x v="0"/>
          </reference>
          <reference field="8" count="1" selected="0">
            <x v="2"/>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611043-955F-4008-A124-E76C2063DF89}" sourceName="Month">
  <pivotTables>
    <pivotTable tabId="20" name="PivotTable33"/>
  </pivotTables>
  <data>
    <tabular pivotCacheId="1676704983">
      <items count="6">
        <i x="3" s="1"/>
        <i x="0" s="1"/>
        <i x="1" s="1"/>
        <i x="2"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7A53E8B-4039-4A97-B618-F6DD932242FE}" sourceName="DEPARTMENT">
  <pivotTables>
    <pivotTable tabId="20" name="PivotTable33"/>
  </pivotTables>
  <data>
    <tabular pivotCacheId="167670498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5F17C4B-BA94-4C30-8216-D8C860399889}" sourceName="DEPARTMENT">
  <pivotTables>
    <pivotTable tabId="14" name="PivotTable9"/>
    <pivotTable tabId="12" name="PivotTable7"/>
    <pivotTable tabId="13" name="PivotTable8"/>
  </pivotTables>
  <data>
    <tabular pivotCacheId="1539399617">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1DA332F-2F21-4EB4-AD98-1F53DCC40F02}" sourceName="Month">
  <pivotTables>
    <pivotTable tabId="13" name="PivotTable8"/>
    <pivotTable tabId="12" name="PivotTable7"/>
    <pivotTable tabId="14" name="PivotTable9"/>
  </pivotTables>
  <data>
    <tabular pivotCacheId="1539399617">
      <items count="6">
        <i x="3" s="1"/>
        <i x="0" s="1"/>
        <i x="1"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8489770E-9986-4B0D-A748-E33D0227A45F}" cache="Slicer_Month1"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EC1D2F6-207C-400A-A9D2-6C3A1CCDE952}" cache="Slicer_Month" caption="Month" rowHeight="241300"/>
  <slicer name="DEPARTMENT 1" xr10:uid="{76E82B1F-7A17-45DD-9BD2-9B88F8ED994A}"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6" xr10:uid="{A09A7177-CA93-4EDB-8E7C-2EE1F0E9819B}" cache="Slicer_DEPARTMENT" caption="DEPARTMENT" columnCount="4" showCaption="0" style="SlicerStyleDark1" lockedPosition="1" rowHeight="241300"/>
  <slicer name="Month 6" xr10:uid="{1C5A4BA3-905B-4E15-9286-9A14B6D44543}" cache="Slicer_Month1" caption="Month" columnCount="6" showCaption="0"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3CBDD2-480D-4139-997D-B6CB2F80AAFB}" name="Table2" displayName="Table2" ref="A1:J301" totalsRowShown="0" headerRowDxfId="13" headerRowBorderDxfId="12" tableBorderDxfId="11" totalsRowBorderDxfId="10">
  <autoFilter ref="A1:J301" xr:uid="{463CBDD2-480D-4139-997D-B6CB2F80AAFB}">
    <filterColumn colId="8">
      <filters>
        <filter val="HIGH"/>
        <filter val="MEDIUM"/>
      </filters>
    </filterColumn>
  </autoFilter>
  <tableColumns count="10">
    <tableColumn id="1" xr3:uid="{6EF073F1-5A69-47E3-91D9-363F66C15D30}" name="Emp_ID" dataDxfId="9"/>
    <tableColumn id="2" xr3:uid="{31F06147-497D-4644-8E3E-2C6C117529DC}" name="Month" dataDxfId="8"/>
    <tableColumn id="3" xr3:uid="{4D0F09ED-6A08-4DE4-8FBA-8E0BB7FB9D3C}" name="Attendance" dataDxfId="7" dataCellStyle="Percent"/>
    <tableColumn id="4" xr3:uid="{5A92B738-8E46-4B27-9286-2974355BF533}" name="Productivity" dataDxfId="6" dataCellStyle="Percent"/>
    <tableColumn id="5" xr3:uid="{24A7D86B-0AC7-4352-8B80-F8E2F4EE0435}" name="Rework" dataDxfId="5" dataCellStyle="Percent"/>
    <tableColumn id="6" xr3:uid="{DF3E29C9-6032-4500-88D8-2345D651EB86}" name="Absentism" dataDxfId="4" dataCellStyle="Percent"/>
    <tableColumn id="7" xr3:uid="{CDAB4486-660F-4ECE-8549-65EB48C2133E}" name="monthly salary" dataDxfId="3">
      <calculatedColumnFormula>_xlfn.XLOOKUP(A2,Employee_Master!A:A,Employee_Master!F:F)</calculatedColumnFormula>
    </tableColumn>
    <tableColumn id="8" xr3:uid="{86DD98C2-914D-44EC-85BB-1A9A997F212E}" name="Cost_Leakage" dataDxfId="2" dataCellStyle="Percent"/>
    <tableColumn id="9" xr3:uid="{584B6D6D-1FA9-427B-858F-7431B6B6F6C1}" name="Risk_Flag" dataDxfId="1"/>
    <tableColumn id="10" xr3:uid="{E0192EDF-11E3-4C48-8EB6-D87CC4AAE8D9}" name="DEPARTMENT" dataDxfId="0">
      <calculatedColumnFormula>_xlfn.XLOOKUP(A2,Employee_Master!A:A,Employee_Master!C:C)</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workbookViewId="0">
      <selection activeCell="L6" sqref="L6"/>
    </sheetView>
  </sheetViews>
  <sheetFormatPr defaultRowHeight="15" x14ac:dyDescent="0.25"/>
  <cols>
    <col min="2" max="2" width="12.85546875" bestFit="1" customWidth="1"/>
    <col min="5" max="5" width="17.28515625" style="1" bestFit="1" customWidth="1"/>
    <col min="6" max="6" width="14.85546875" bestFit="1" customWidth="1"/>
    <col min="7" max="7" width="19" bestFit="1" customWidth="1"/>
    <col min="8" max="8" width="8.7109375" bestFit="1" customWidth="1"/>
    <col min="11" max="11" width="15.85546875" bestFit="1" customWidth="1"/>
  </cols>
  <sheetData>
    <row r="1" spans="1:8" x14ac:dyDescent="0.25">
      <c r="A1" s="9" t="s">
        <v>0</v>
      </c>
      <c r="B1" s="9" t="s">
        <v>1</v>
      </c>
      <c r="C1" s="9" t="s">
        <v>2</v>
      </c>
      <c r="D1" s="9" t="s">
        <v>3</v>
      </c>
      <c r="E1" s="11" t="s">
        <v>4</v>
      </c>
      <c r="F1" s="9" t="s">
        <v>5</v>
      </c>
      <c r="G1" s="9" t="s">
        <v>6</v>
      </c>
      <c r="H1" s="9" t="s">
        <v>7</v>
      </c>
    </row>
    <row r="2" spans="1:8" x14ac:dyDescent="0.25">
      <c r="A2" s="9" t="s">
        <v>8</v>
      </c>
      <c r="B2" s="4" t="s">
        <v>98</v>
      </c>
      <c r="C2" s="9" t="s">
        <v>9</v>
      </c>
      <c r="D2" s="9" t="s">
        <v>10</v>
      </c>
      <c r="E2" s="11">
        <v>44614</v>
      </c>
      <c r="F2" s="9">
        <v>55448</v>
      </c>
      <c r="G2" s="9" t="s">
        <v>11</v>
      </c>
      <c r="H2" s="9" t="s">
        <v>12</v>
      </c>
    </row>
    <row r="3" spans="1:8" x14ac:dyDescent="0.25">
      <c r="A3" s="9" t="s">
        <v>13</v>
      </c>
      <c r="B3" s="4" t="s">
        <v>99</v>
      </c>
      <c r="C3" s="9" t="s">
        <v>14</v>
      </c>
      <c r="D3" s="9" t="s">
        <v>15</v>
      </c>
      <c r="E3" s="11">
        <v>44400</v>
      </c>
      <c r="F3" s="9">
        <v>66433</v>
      </c>
      <c r="G3" s="9" t="s">
        <v>16</v>
      </c>
      <c r="H3" s="9" t="s">
        <v>17</v>
      </c>
    </row>
    <row r="4" spans="1:8" x14ac:dyDescent="0.25">
      <c r="A4" s="9" t="s">
        <v>18</v>
      </c>
      <c r="B4" s="4" t="s">
        <v>100</v>
      </c>
      <c r="C4" s="9" t="s">
        <v>9</v>
      </c>
      <c r="D4" s="9" t="s">
        <v>19</v>
      </c>
      <c r="E4" s="11">
        <v>45313</v>
      </c>
      <c r="F4" s="9">
        <v>49957</v>
      </c>
      <c r="G4" s="9" t="s">
        <v>20</v>
      </c>
      <c r="H4" s="9" t="s">
        <v>21</v>
      </c>
    </row>
    <row r="5" spans="1:8" x14ac:dyDescent="0.25">
      <c r="A5" s="9" t="s">
        <v>22</v>
      </c>
      <c r="B5" s="4" t="s">
        <v>101</v>
      </c>
      <c r="C5" s="9" t="s">
        <v>23</v>
      </c>
      <c r="D5" s="9" t="s">
        <v>24</v>
      </c>
      <c r="E5" s="11">
        <v>45275</v>
      </c>
      <c r="F5" s="9">
        <v>38396</v>
      </c>
      <c r="G5" s="9" t="s">
        <v>11</v>
      </c>
      <c r="H5" s="9" t="s">
        <v>25</v>
      </c>
    </row>
    <row r="6" spans="1:8" x14ac:dyDescent="0.25">
      <c r="A6" s="9" t="s">
        <v>26</v>
      </c>
      <c r="B6" s="4" t="s">
        <v>102</v>
      </c>
      <c r="C6" s="9" t="s">
        <v>14</v>
      </c>
      <c r="D6" s="9" t="s">
        <v>10</v>
      </c>
      <c r="E6" s="11">
        <v>43837</v>
      </c>
      <c r="F6" s="9">
        <v>42012</v>
      </c>
      <c r="G6" s="9" t="s">
        <v>11</v>
      </c>
      <c r="H6" s="9" t="s">
        <v>17</v>
      </c>
    </row>
    <row r="7" spans="1:8" x14ac:dyDescent="0.25">
      <c r="A7" s="9" t="s">
        <v>27</v>
      </c>
      <c r="B7" s="4" t="s">
        <v>103</v>
      </c>
      <c r="C7" s="9" t="s">
        <v>28</v>
      </c>
      <c r="D7" s="9" t="s">
        <v>15</v>
      </c>
      <c r="E7" s="11">
        <v>45192</v>
      </c>
      <c r="F7" s="9">
        <v>37736</v>
      </c>
      <c r="G7" s="9" t="s">
        <v>29</v>
      </c>
      <c r="H7" s="9" t="s">
        <v>30</v>
      </c>
    </row>
    <row r="8" spans="1:8" x14ac:dyDescent="0.25">
      <c r="A8" s="9" t="s">
        <v>31</v>
      </c>
      <c r="B8" s="4" t="s">
        <v>104</v>
      </c>
      <c r="C8" s="9" t="s">
        <v>9</v>
      </c>
      <c r="D8" s="9" t="s">
        <v>19</v>
      </c>
      <c r="E8" s="11">
        <v>45276</v>
      </c>
      <c r="F8" s="9">
        <v>84043</v>
      </c>
      <c r="G8" s="9" t="s">
        <v>29</v>
      </c>
      <c r="H8" s="9" t="s">
        <v>21</v>
      </c>
    </row>
    <row r="9" spans="1:8" x14ac:dyDescent="0.25">
      <c r="A9" s="9" t="s">
        <v>32</v>
      </c>
      <c r="B9" s="4" t="s">
        <v>105</v>
      </c>
      <c r="C9" s="9" t="s">
        <v>23</v>
      </c>
      <c r="D9" s="9" t="s">
        <v>24</v>
      </c>
      <c r="E9" s="11">
        <v>44696</v>
      </c>
      <c r="F9" s="9">
        <v>80699</v>
      </c>
      <c r="G9" s="9" t="s">
        <v>11</v>
      </c>
      <c r="H9" s="9" t="s">
        <v>25</v>
      </c>
    </row>
    <row r="10" spans="1:8" x14ac:dyDescent="0.25">
      <c r="A10" s="9" t="s">
        <v>33</v>
      </c>
      <c r="B10" s="4" t="s">
        <v>106</v>
      </c>
      <c r="C10" s="9" t="s">
        <v>9</v>
      </c>
      <c r="D10" s="9" t="s">
        <v>19</v>
      </c>
      <c r="E10" s="11">
        <v>44268</v>
      </c>
      <c r="F10" s="9">
        <v>46257</v>
      </c>
      <c r="G10" s="9" t="s">
        <v>20</v>
      </c>
      <c r="H10" s="9" t="s">
        <v>12</v>
      </c>
    </row>
    <row r="11" spans="1:8" x14ac:dyDescent="0.25">
      <c r="A11" s="9" t="s">
        <v>34</v>
      </c>
      <c r="B11" s="4" t="s">
        <v>107</v>
      </c>
      <c r="C11" s="9" t="s">
        <v>14</v>
      </c>
      <c r="D11" s="9" t="s">
        <v>24</v>
      </c>
      <c r="E11" s="11">
        <v>44849</v>
      </c>
      <c r="F11" s="9">
        <v>45880</v>
      </c>
      <c r="G11" s="9" t="s">
        <v>20</v>
      </c>
      <c r="H11" s="9" t="s">
        <v>35</v>
      </c>
    </row>
    <row r="12" spans="1:8" x14ac:dyDescent="0.25">
      <c r="A12" s="9" t="s">
        <v>36</v>
      </c>
      <c r="B12" s="4" t="s">
        <v>108</v>
      </c>
      <c r="C12" s="9" t="s">
        <v>23</v>
      </c>
      <c r="D12" s="9" t="s">
        <v>37</v>
      </c>
      <c r="E12" s="11">
        <v>45485</v>
      </c>
      <c r="F12" s="9">
        <v>42493</v>
      </c>
      <c r="G12" s="9" t="s">
        <v>29</v>
      </c>
      <c r="H12" s="9" t="s">
        <v>25</v>
      </c>
    </row>
    <row r="13" spans="1:8" x14ac:dyDescent="0.25">
      <c r="A13" s="9" t="s">
        <v>38</v>
      </c>
      <c r="B13" s="4" t="s">
        <v>109</v>
      </c>
      <c r="C13" s="9" t="s">
        <v>23</v>
      </c>
      <c r="D13" s="9" t="s">
        <v>15</v>
      </c>
      <c r="E13" s="11">
        <v>45400</v>
      </c>
      <c r="F13" s="9">
        <v>36447</v>
      </c>
      <c r="G13" s="9" t="s">
        <v>16</v>
      </c>
      <c r="H13" s="9" t="s">
        <v>25</v>
      </c>
    </row>
    <row r="14" spans="1:8" x14ac:dyDescent="0.25">
      <c r="A14" s="9" t="s">
        <v>39</v>
      </c>
      <c r="B14" s="4" t="s">
        <v>110</v>
      </c>
      <c r="C14" s="9" t="s">
        <v>14</v>
      </c>
      <c r="D14" s="9" t="s">
        <v>15</v>
      </c>
      <c r="E14" s="11">
        <v>45211</v>
      </c>
      <c r="F14" s="9">
        <v>89085</v>
      </c>
      <c r="G14" s="9" t="s">
        <v>20</v>
      </c>
      <c r="H14" s="9" t="s">
        <v>35</v>
      </c>
    </row>
    <row r="15" spans="1:8" x14ac:dyDescent="0.25">
      <c r="A15" s="9" t="s">
        <v>40</v>
      </c>
      <c r="B15" s="4" t="s">
        <v>111</v>
      </c>
      <c r="C15" s="9" t="s">
        <v>9</v>
      </c>
      <c r="D15" s="9" t="s">
        <v>15</v>
      </c>
      <c r="E15" s="11">
        <v>44117</v>
      </c>
      <c r="F15" s="9">
        <v>41091</v>
      </c>
      <c r="G15" s="9" t="s">
        <v>20</v>
      </c>
      <c r="H15" s="9" t="s">
        <v>12</v>
      </c>
    </row>
    <row r="16" spans="1:8" x14ac:dyDescent="0.25">
      <c r="A16" s="9" t="s">
        <v>41</v>
      </c>
      <c r="B16" s="4" t="s">
        <v>112</v>
      </c>
      <c r="C16" s="9" t="s">
        <v>14</v>
      </c>
      <c r="D16" s="9" t="s">
        <v>19</v>
      </c>
      <c r="E16" s="11">
        <v>44757</v>
      </c>
      <c r="F16" s="9">
        <v>38287</v>
      </c>
      <c r="G16" s="9" t="s">
        <v>11</v>
      </c>
      <c r="H16" s="9" t="s">
        <v>35</v>
      </c>
    </row>
    <row r="17" spans="1:8" x14ac:dyDescent="0.25">
      <c r="A17" s="9" t="s">
        <v>42</v>
      </c>
      <c r="B17" s="4" t="s">
        <v>113</v>
      </c>
      <c r="C17" s="9" t="s">
        <v>28</v>
      </c>
      <c r="D17" s="9" t="s">
        <v>15</v>
      </c>
      <c r="E17" s="11">
        <v>43881</v>
      </c>
      <c r="F17" s="9">
        <v>61034</v>
      </c>
      <c r="G17" s="9" t="s">
        <v>20</v>
      </c>
      <c r="H17" s="9" t="s">
        <v>30</v>
      </c>
    </row>
    <row r="18" spans="1:8" x14ac:dyDescent="0.25">
      <c r="A18" s="9" t="s">
        <v>43</v>
      </c>
      <c r="B18" s="4" t="s">
        <v>114</v>
      </c>
      <c r="C18" s="9" t="s">
        <v>28</v>
      </c>
      <c r="D18" s="9" t="s">
        <v>10</v>
      </c>
      <c r="E18" s="11">
        <v>45039</v>
      </c>
      <c r="F18" s="9">
        <v>59857</v>
      </c>
      <c r="G18" s="9" t="s">
        <v>16</v>
      </c>
      <c r="H18" s="9" t="s">
        <v>44</v>
      </c>
    </row>
    <row r="19" spans="1:8" x14ac:dyDescent="0.25">
      <c r="A19" s="9" t="s">
        <v>45</v>
      </c>
      <c r="B19" s="4" t="s">
        <v>115</v>
      </c>
      <c r="C19" s="9" t="s">
        <v>23</v>
      </c>
      <c r="D19" s="9" t="s">
        <v>15</v>
      </c>
      <c r="E19" s="11">
        <v>45108</v>
      </c>
      <c r="F19" s="9">
        <v>37716</v>
      </c>
      <c r="G19" s="9" t="s">
        <v>20</v>
      </c>
      <c r="H19" s="9" t="s">
        <v>46</v>
      </c>
    </row>
    <row r="20" spans="1:8" x14ac:dyDescent="0.25">
      <c r="A20" s="9" t="s">
        <v>47</v>
      </c>
      <c r="B20" s="4" t="s">
        <v>116</v>
      </c>
      <c r="C20" s="9" t="s">
        <v>28</v>
      </c>
      <c r="D20" s="9" t="s">
        <v>37</v>
      </c>
      <c r="E20" s="11">
        <v>45355</v>
      </c>
      <c r="F20" s="9">
        <v>84504</v>
      </c>
      <c r="G20" s="9" t="s">
        <v>29</v>
      </c>
      <c r="H20" s="9" t="s">
        <v>30</v>
      </c>
    </row>
    <row r="21" spans="1:8" x14ac:dyDescent="0.25">
      <c r="A21" s="9" t="s">
        <v>48</v>
      </c>
      <c r="B21" s="4" t="s">
        <v>117</v>
      </c>
      <c r="C21" s="9" t="s">
        <v>9</v>
      </c>
      <c r="D21" s="9" t="s">
        <v>37</v>
      </c>
      <c r="E21" s="11">
        <v>45085</v>
      </c>
      <c r="F21" s="9">
        <v>75277</v>
      </c>
      <c r="G21" s="9" t="s">
        <v>16</v>
      </c>
      <c r="H21" s="9" t="s">
        <v>12</v>
      </c>
    </row>
    <row r="22" spans="1:8" x14ac:dyDescent="0.25">
      <c r="A22" s="9" t="s">
        <v>49</v>
      </c>
      <c r="B22" s="4" t="s">
        <v>118</v>
      </c>
      <c r="C22" s="9" t="s">
        <v>9</v>
      </c>
      <c r="D22" s="9" t="s">
        <v>19</v>
      </c>
      <c r="E22" s="11">
        <v>44282</v>
      </c>
      <c r="F22" s="9">
        <v>74159</v>
      </c>
      <c r="G22" s="9" t="s">
        <v>16</v>
      </c>
      <c r="H22" s="9" t="s">
        <v>12</v>
      </c>
    </row>
    <row r="23" spans="1:8" x14ac:dyDescent="0.25">
      <c r="A23" s="9" t="s">
        <v>50</v>
      </c>
      <c r="B23" s="4" t="s">
        <v>119</v>
      </c>
      <c r="C23" s="9" t="s">
        <v>9</v>
      </c>
      <c r="D23" s="9" t="s">
        <v>15</v>
      </c>
      <c r="E23" s="11">
        <v>45081</v>
      </c>
      <c r="F23" s="9">
        <v>68844</v>
      </c>
      <c r="G23" s="9" t="s">
        <v>11</v>
      </c>
      <c r="H23" s="9" t="s">
        <v>12</v>
      </c>
    </row>
    <row r="24" spans="1:8" x14ac:dyDescent="0.25">
      <c r="A24" s="9" t="s">
        <v>51</v>
      </c>
      <c r="B24" s="4" t="s">
        <v>120</v>
      </c>
      <c r="C24" s="9" t="s">
        <v>9</v>
      </c>
      <c r="D24" s="9" t="s">
        <v>37</v>
      </c>
      <c r="E24" s="11">
        <v>45062</v>
      </c>
      <c r="F24" s="9">
        <v>52195</v>
      </c>
      <c r="G24" s="9" t="s">
        <v>20</v>
      </c>
      <c r="H24" s="9" t="s">
        <v>12</v>
      </c>
    </row>
    <row r="25" spans="1:8" x14ac:dyDescent="0.25">
      <c r="A25" s="9" t="s">
        <v>52</v>
      </c>
      <c r="B25" s="4" t="s">
        <v>121</v>
      </c>
      <c r="C25" s="9" t="s">
        <v>28</v>
      </c>
      <c r="D25" s="9" t="s">
        <v>24</v>
      </c>
      <c r="E25" s="11">
        <v>44766</v>
      </c>
      <c r="F25" s="9">
        <v>65366</v>
      </c>
      <c r="G25" s="9" t="s">
        <v>11</v>
      </c>
      <c r="H25" s="9" t="s">
        <v>44</v>
      </c>
    </row>
    <row r="26" spans="1:8" x14ac:dyDescent="0.25">
      <c r="A26" s="9" t="s">
        <v>53</v>
      </c>
      <c r="B26" s="4" t="s">
        <v>122</v>
      </c>
      <c r="C26" s="9" t="s">
        <v>28</v>
      </c>
      <c r="D26" s="9" t="s">
        <v>24</v>
      </c>
      <c r="E26" s="11">
        <v>43844</v>
      </c>
      <c r="F26" s="9">
        <v>71628</v>
      </c>
      <c r="G26" s="9" t="s">
        <v>16</v>
      </c>
      <c r="H26" s="9" t="s">
        <v>44</v>
      </c>
    </row>
    <row r="27" spans="1:8" x14ac:dyDescent="0.25">
      <c r="A27" s="9" t="s">
        <v>54</v>
      </c>
      <c r="B27" s="4" t="s">
        <v>123</v>
      </c>
      <c r="C27" s="9" t="s">
        <v>28</v>
      </c>
      <c r="D27" s="9" t="s">
        <v>10</v>
      </c>
      <c r="E27" s="11">
        <v>45360</v>
      </c>
      <c r="F27" s="9">
        <v>61425</v>
      </c>
      <c r="G27" s="9" t="s">
        <v>11</v>
      </c>
      <c r="H27" s="9" t="s">
        <v>30</v>
      </c>
    </row>
    <row r="28" spans="1:8" x14ac:dyDescent="0.25">
      <c r="A28" s="9" t="s">
        <v>55</v>
      </c>
      <c r="B28" s="4" t="s">
        <v>124</v>
      </c>
      <c r="C28" s="9" t="s">
        <v>23</v>
      </c>
      <c r="D28" s="9" t="s">
        <v>15</v>
      </c>
      <c r="E28" s="11">
        <v>44351</v>
      </c>
      <c r="F28" s="9">
        <v>79553</v>
      </c>
      <c r="G28" s="9" t="s">
        <v>16</v>
      </c>
      <c r="H28" s="9" t="s">
        <v>25</v>
      </c>
    </row>
    <row r="29" spans="1:8" x14ac:dyDescent="0.25">
      <c r="A29" s="9" t="s">
        <v>56</v>
      </c>
      <c r="B29" s="4" t="s">
        <v>125</v>
      </c>
      <c r="C29" s="9" t="s">
        <v>14</v>
      </c>
      <c r="D29" s="9" t="s">
        <v>24</v>
      </c>
      <c r="E29" s="11">
        <v>45612</v>
      </c>
      <c r="F29" s="9">
        <v>89427</v>
      </c>
      <c r="G29" s="9" t="s">
        <v>16</v>
      </c>
      <c r="H29" s="9" t="s">
        <v>17</v>
      </c>
    </row>
    <row r="30" spans="1:8" x14ac:dyDescent="0.25">
      <c r="A30" s="9" t="s">
        <v>57</v>
      </c>
      <c r="B30" s="4" t="s">
        <v>126</v>
      </c>
      <c r="C30" s="9" t="s">
        <v>9</v>
      </c>
      <c r="D30" s="9" t="s">
        <v>37</v>
      </c>
      <c r="E30" s="11">
        <v>45189</v>
      </c>
      <c r="F30" s="9">
        <v>71787</v>
      </c>
      <c r="G30" s="9" t="s">
        <v>16</v>
      </c>
      <c r="H30" s="9" t="s">
        <v>12</v>
      </c>
    </row>
    <row r="31" spans="1:8" x14ac:dyDescent="0.25">
      <c r="A31" s="9" t="s">
        <v>58</v>
      </c>
      <c r="B31" s="4" t="s">
        <v>127</v>
      </c>
      <c r="C31" s="9" t="s">
        <v>28</v>
      </c>
      <c r="D31" s="9" t="s">
        <v>37</v>
      </c>
      <c r="E31" s="11">
        <v>43896</v>
      </c>
      <c r="F31" s="9">
        <v>55298</v>
      </c>
      <c r="G31" s="9" t="s">
        <v>20</v>
      </c>
      <c r="H31" s="9" t="s">
        <v>30</v>
      </c>
    </row>
    <row r="32" spans="1:8" x14ac:dyDescent="0.25">
      <c r="A32" s="9" t="s">
        <v>59</v>
      </c>
      <c r="B32" s="4" t="s">
        <v>128</v>
      </c>
      <c r="C32" s="9" t="s">
        <v>23</v>
      </c>
      <c r="D32" s="9" t="s">
        <v>15</v>
      </c>
      <c r="E32" s="11">
        <v>44801</v>
      </c>
      <c r="F32" s="9">
        <v>52765</v>
      </c>
      <c r="G32" s="9" t="s">
        <v>16</v>
      </c>
      <c r="H32" s="9" t="s">
        <v>25</v>
      </c>
    </row>
    <row r="33" spans="1:8" x14ac:dyDescent="0.25">
      <c r="A33" s="9" t="s">
        <v>60</v>
      </c>
      <c r="B33" s="4" t="s">
        <v>129</v>
      </c>
      <c r="C33" s="9" t="s">
        <v>28</v>
      </c>
      <c r="D33" s="9" t="s">
        <v>19</v>
      </c>
      <c r="E33" s="11">
        <v>44007</v>
      </c>
      <c r="F33" s="9">
        <v>80497</v>
      </c>
      <c r="G33" s="9" t="s">
        <v>11</v>
      </c>
      <c r="H33" s="9" t="s">
        <v>44</v>
      </c>
    </row>
    <row r="34" spans="1:8" x14ac:dyDescent="0.25">
      <c r="A34" s="9" t="s">
        <v>61</v>
      </c>
      <c r="B34" s="4" t="s">
        <v>130</v>
      </c>
      <c r="C34" s="9" t="s">
        <v>9</v>
      </c>
      <c r="D34" s="9" t="s">
        <v>19</v>
      </c>
      <c r="E34" s="11">
        <v>45255</v>
      </c>
      <c r="F34" s="9">
        <v>54123</v>
      </c>
      <c r="G34" s="9" t="s">
        <v>29</v>
      </c>
      <c r="H34" s="9" t="s">
        <v>12</v>
      </c>
    </row>
    <row r="35" spans="1:8" x14ac:dyDescent="0.25">
      <c r="A35" s="9" t="s">
        <v>62</v>
      </c>
      <c r="B35" s="4" t="s">
        <v>131</v>
      </c>
      <c r="C35" s="9" t="s">
        <v>9</v>
      </c>
      <c r="D35" s="9" t="s">
        <v>15</v>
      </c>
      <c r="E35" s="11">
        <v>45072</v>
      </c>
      <c r="F35" s="9">
        <v>83035</v>
      </c>
      <c r="G35" s="9" t="s">
        <v>29</v>
      </c>
      <c r="H35" s="9" t="s">
        <v>12</v>
      </c>
    </row>
    <row r="36" spans="1:8" x14ac:dyDescent="0.25">
      <c r="A36" s="9" t="s">
        <v>63</v>
      </c>
      <c r="B36" s="4" t="s">
        <v>132</v>
      </c>
      <c r="C36" s="9" t="s">
        <v>9</v>
      </c>
      <c r="D36" s="9" t="s">
        <v>10</v>
      </c>
      <c r="E36" s="11">
        <v>44491</v>
      </c>
      <c r="F36" s="9">
        <v>86706</v>
      </c>
      <c r="G36" s="9" t="s">
        <v>20</v>
      </c>
      <c r="H36" s="9" t="s">
        <v>12</v>
      </c>
    </row>
    <row r="37" spans="1:8" x14ac:dyDescent="0.25">
      <c r="A37" s="9" t="s">
        <v>64</v>
      </c>
      <c r="B37" s="4" t="s">
        <v>133</v>
      </c>
      <c r="C37" s="9" t="s">
        <v>23</v>
      </c>
      <c r="D37" s="9" t="s">
        <v>37</v>
      </c>
      <c r="E37" s="11">
        <v>45342</v>
      </c>
      <c r="F37" s="9">
        <v>37560</v>
      </c>
      <c r="G37" s="9" t="s">
        <v>11</v>
      </c>
      <c r="H37" s="9" t="s">
        <v>25</v>
      </c>
    </row>
    <row r="38" spans="1:8" x14ac:dyDescent="0.25">
      <c r="A38" s="9" t="s">
        <v>65</v>
      </c>
      <c r="B38" s="4" t="s">
        <v>134</v>
      </c>
      <c r="C38" s="9" t="s">
        <v>28</v>
      </c>
      <c r="D38" s="9" t="s">
        <v>24</v>
      </c>
      <c r="E38" s="11">
        <v>44868</v>
      </c>
      <c r="F38" s="9">
        <v>36399</v>
      </c>
      <c r="G38" s="9" t="s">
        <v>11</v>
      </c>
      <c r="H38" s="9" t="s">
        <v>44</v>
      </c>
    </row>
    <row r="39" spans="1:8" x14ac:dyDescent="0.25">
      <c r="A39" s="9" t="s">
        <v>66</v>
      </c>
      <c r="B39" s="4" t="s">
        <v>135</v>
      </c>
      <c r="C39" s="9" t="s">
        <v>28</v>
      </c>
      <c r="D39" s="9" t="s">
        <v>10</v>
      </c>
      <c r="E39" s="11">
        <v>44168</v>
      </c>
      <c r="F39" s="9">
        <v>35728</v>
      </c>
      <c r="G39" s="9" t="s">
        <v>11</v>
      </c>
      <c r="H39" s="9" t="s">
        <v>30</v>
      </c>
    </row>
    <row r="40" spans="1:8" x14ac:dyDescent="0.25">
      <c r="A40" s="9" t="s">
        <v>67</v>
      </c>
      <c r="B40" s="4" t="s">
        <v>136</v>
      </c>
      <c r="C40" s="9" t="s">
        <v>23</v>
      </c>
      <c r="D40" s="9" t="s">
        <v>19</v>
      </c>
      <c r="E40" s="11">
        <v>44976</v>
      </c>
      <c r="F40" s="9">
        <v>57209</v>
      </c>
      <c r="G40" s="9" t="s">
        <v>11</v>
      </c>
      <c r="H40" s="9" t="s">
        <v>46</v>
      </c>
    </row>
    <row r="41" spans="1:8" x14ac:dyDescent="0.25">
      <c r="A41" s="9" t="s">
        <v>68</v>
      </c>
      <c r="B41" s="4" t="s">
        <v>137</v>
      </c>
      <c r="C41" s="9" t="s">
        <v>14</v>
      </c>
      <c r="D41" s="9" t="s">
        <v>19</v>
      </c>
      <c r="E41" s="11">
        <v>45116</v>
      </c>
      <c r="F41" s="9">
        <v>62782</v>
      </c>
      <c r="G41" s="9" t="s">
        <v>16</v>
      </c>
      <c r="H41" s="9" t="s">
        <v>17</v>
      </c>
    </row>
    <row r="42" spans="1:8" x14ac:dyDescent="0.25">
      <c r="A42" s="9" t="s">
        <v>69</v>
      </c>
      <c r="B42" s="4" t="s">
        <v>138</v>
      </c>
      <c r="C42" s="9" t="s">
        <v>14</v>
      </c>
      <c r="D42" s="9" t="s">
        <v>15</v>
      </c>
      <c r="E42" s="11">
        <v>44698</v>
      </c>
      <c r="F42" s="9">
        <v>40435</v>
      </c>
      <c r="G42" s="9" t="s">
        <v>29</v>
      </c>
      <c r="H42" s="9" t="s">
        <v>35</v>
      </c>
    </row>
    <row r="43" spans="1:8" x14ac:dyDescent="0.25">
      <c r="A43" s="9" t="s">
        <v>70</v>
      </c>
      <c r="B43" s="4" t="s">
        <v>139</v>
      </c>
      <c r="C43" s="9" t="s">
        <v>23</v>
      </c>
      <c r="D43" s="9" t="s">
        <v>24</v>
      </c>
      <c r="E43" s="11">
        <v>45584</v>
      </c>
      <c r="F43" s="9">
        <v>58061</v>
      </c>
      <c r="G43" s="9" t="s">
        <v>16</v>
      </c>
      <c r="H43" s="9" t="s">
        <v>46</v>
      </c>
    </row>
    <row r="44" spans="1:8" x14ac:dyDescent="0.25">
      <c r="A44" s="9" t="s">
        <v>71</v>
      </c>
      <c r="B44" s="4" t="s">
        <v>140</v>
      </c>
      <c r="C44" s="9" t="s">
        <v>23</v>
      </c>
      <c r="D44" s="9" t="s">
        <v>24</v>
      </c>
      <c r="E44" s="11">
        <v>44080</v>
      </c>
      <c r="F44" s="9">
        <v>46149</v>
      </c>
      <c r="G44" s="9" t="s">
        <v>20</v>
      </c>
      <c r="H44" s="9" t="s">
        <v>46</v>
      </c>
    </row>
    <row r="45" spans="1:8" x14ac:dyDescent="0.25">
      <c r="A45" s="9" t="s">
        <v>72</v>
      </c>
      <c r="B45" s="4" t="s">
        <v>141</v>
      </c>
      <c r="C45" s="9" t="s">
        <v>14</v>
      </c>
      <c r="D45" s="9" t="s">
        <v>10</v>
      </c>
      <c r="E45" s="11">
        <v>45306</v>
      </c>
      <c r="F45" s="9">
        <v>77876</v>
      </c>
      <c r="G45" s="9" t="s">
        <v>29</v>
      </c>
      <c r="H45" s="9" t="s">
        <v>35</v>
      </c>
    </row>
    <row r="46" spans="1:8" x14ac:dyDescent="0.25">
      <c r="A46" s="9" t="s">
        <v>73</v>
      </c>
      <c r="B46" s="4" t="s">
        <v>142</v>
      </c>
      <c r="C46" s="9" t="s">
        <v>14</v>
      </c>
      <c r="D46" s="9" t="s">
        <v>19</v>
      </c>
      <c r="E46" s="11">
        <v>44446</v>
      </c>
      <c r="F46" s="9">
        <v>37548</v>
      </c>
      <c r="G46" s="9" t="s">
        <v>20</v>
      </c>
      <c r="H46" s="9" t="s">
        <v>35</v>
      </c>
    </row>
    <row r="47" spans="1:8" x14ac:dyDescent="0.25">
      <c r="A47" s="9" t="s">
        <v>74</v>
      </c>
      <c r="B47" s="4" t="s">
        <v>143</v>
      </c>
      <c r="C47" s="9" t="s">
        <v>23</v>
      </c>
      <c r="D47" s="9" t="s">
        <v>24</v>
      </c>
      <c r="E47" s="11">
        <v>44258</v>
      </c>
      <c r="F47" s="9">
        <v>44020</v>
      </c>
      <c r="G47" s="9" t="s">
        <v>11</v>
      </c>
      <c r="H47" s="9" t="s">
        <v>25</v>
      </c>
    </row>
    <row r="48" spans="1:8" x14ac:dyDescent="0.25">
      <c r="A48" s="9" t="s">
        <v>75</v>
      </c>
      <c r="B48" s="4" t="s">
        <v>144</v>
      </c>
      <c r="C48" s="9" t="s">
        <v>23</v>
      </c>
      <c r="D48" s="9" t="s">
        <v>37</v>
      </c>
      <c r="E48" s="11">
        <v>45307</v>
      </c>
      <c r="F48" s="9">
        <v>82692</v>
      </c>
      <c r="G48" s="9" t="s">
        <v>16</v>
      </c>
      <c r="H48" s="9" t="s">
        <v>25</v>
      </c>
    </row>
    <row r="49" spans="1:8" x14ac:dyDescent="0.25">
      <c r="A49" s="9" t="s">
        <v>76</v>
      </c>
      <c r="B49" s="4" t="s">
        <v>145</v>
      </c>
      <c r="C49" s="9" t="s">
        <v>9</v>
      </c>
      <c r="D49" s="9" t="s">
        <v>10</v>
      </c>
      <c r="E49" s="11">
        <v>44039</v>
      </c>
      <c r="F49" s="9">
        <v>39915</v>
      </c>
      <c r="G49" s="9" t="s">
        <v>11</v>
      </c>
      <c r="H49" s="9" t="s">
        <v>12</v>
      </c>
    </row>
    <row r="50" spans="1:8" x14ac:dyDescent="0.25">
      <c r="A50" s="9" t="s">
        <v>77</v>
      </c>
      <c r="B50" s="4" t="s">
        <v>146</v>
      </c>
      <c r="C50" s="9" t="s">
        <v>9</v>
      </c>
      <c r="D50" s="9" t="s">
        <v>24</v>
      </c>
      <c r="E50" s="11">
        <v>45312</v>
      </c>
      <c r="F50" s="9">
        <v>59133</v>
      </c>
      <c r="G50" s="9" t="s">
        <v>16</v>
      </c>
      <c r="H50" s="9" t="s">
        <v>21</v>
      </c>
    </row>
    <row r="51" spans="1:8" x14ac:dyDescent="0.25">
      <c r="A51" s="9" t="s">
        <v>78</v>
      </c>
      <c r="B51" s="4" t="s">
        <v>147</v>
      </c>
      <c r="C51" s="9" t="s">
        <v>9</v>
      </c>
      <c r="D51" s="9" t="s">
        <v>19</v>
      </c>
      <c r="E51" s="11">
        <v>43954</v>
      </c>
      <c r="F51" s="9">
        <v>36280</v>
      </c>
      <c r="G51" s="9" t="s">
        <v>16</v>
      </c>
      <c r="H51" s="9"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workbookViewId="0">
      <selection activeCell="K6" sqref="K6"/>
    </sheetView>
  </sheetViews>
  <sheetFormatPr defaultRowHeight="15" x14ac:dyDescent="0.25"/>
  <cols>
    <col min="3" max="3" width="13.7109375" bestFit="1" customWidth="1"/>
    <col min="4" max="4" width="13.140625" bestFit="1" customWidth="1"/>
    <col min="5" max="5" width="13.42578125" bestFit="1" customWidth="1"/>
    <col min="6" max="6" width="12" style="3" customWidth="1"/>
    <col min="7" max="7" width="9.140625" style="4"/>
  </cols>
  <sheetData>
    <row r="1" spans="1:7" x14ac:dyDescent="0.25">
      <c r="A1" s="9" t="s">
        <v>0</v>
      </c>
      <c r="B1" s="9" t="s">
        <v>79</v>
      </c>
      <c r="C1" s="9" t="s">
        <v>80</v>
      </c>
      <c r="D1" s="9" t="s">
        <v>81</v>
      </c>
      <c r="E1" s="9" t="s">
        <v>82</v>
      </c>
      <c r="F1" s="25" t="s">
        <v>94</v>
      </c>
      <c r="G1" s="9" t="s">
        <v>96</v>
      </c>
    </row>
    <row r="2" spans="1:7" x14ac:dyDescent="0.25">
      <c r="A2" s="9" t="s">
        <v>8</v>
      </c>
      <c r="B2" s="9" t="s">
        <v>83</v>
      </c>
      <c r="C2" s="9">
        <v>22</v>
      </c>
      <c r="D2" s="9">
        <v>18</v>
      </c>
      <c r="E2" s="9">
        <v>4</v>
      </c>
      <c r="F2" s="26">
        <v>0.81818181818181823</v>
      </c>
      <c r="G2" s="27">
        <v>0.18181818181818182</v>
      </c>
    </row>
    <row r="3" spans="1:7" x14ac:dyDescent="0.25">
      <c r="A3" s="9" t="s">
        <v>8</v>
      </c>
      <c r="B3" s="9" t="s">
        <v>84</v>
      </c>
      <c r="C3" s="9">
        <v>22</v>
      </c>
      <c r="D3" s="9">
        <v>16</v>
      </c>
      <c r="E3" s="9">
        <v>6</v>
      </c>
      <c r="F3" s="26">
        <v>0.72727272727272729</v>
      </c>
      <c r="G3" s="27">
        <v>0.27272727272727298</v>
      </c>
    </row>
    <row r="4" spans="1:7" x14ac:dyDescent="0.25">
      <c r="A4" s="9" t="s">
        <v>8</v>
      </c>
      <c r="B4" s="9" t="s">
        <v>85</v>
      </c>
      <c r="C4" s="9">
        <v>22</v>
      </c>
      <c r="D4" s="9">
        <v>17</v>
      </c>
      <c r="E4" s="9">
        <v>5</v>
      </c>
      <c r="F4" s="26">
        <v>0.77272727272727271</v>
      </c>
      <c r="G4" s="27">
        <v>0.22727272727272727</v>
      </c>
    </row>
    <row r="5" spans="1:7" x14ac:dyDescent="0.25">
      <c r="A5" s="9" t="s">
        <v>8</v>
      </c>
      <c r="B5" s="9" t="s">
        <v>86</v>
      </c>
      <c r="C5" s="9">
        <v>22</v>
      </c>
      <c r="D5" s="9">
        <v>16</v>
      </c>
      <c r="E5" s="9">
        <v>6</v>
      </c>
      <c r="F5" s="26">
        <v>0.72727272727272729</v>
      </c>
      <c r="G5" s="27">
        <v>0.27272727272727271</v>
      </c>
    </row>
    <row r="6" spans="1:7" x14ac:dyDescent="0.25">
      <c r="A6" s="9" t="s">
        <v>8</v>
      </c>
      <c r="B6" s="9" t="s">
        <v>87</v>
      </c>
      <c r="C6" s="9">
        <v>22</v>
      </c>
      <c r="D6" s="9">
        <v>16</v>
      </c>
      <c r="E6" s="9">
        <v>6</v>
      </c>
      <c r="F6" s="26">
        <v>0.72727272727272729</v>
      </c>
      <c r="G6" s="27">
        <v>0.27272727272727271</v>
      </c>
    </row>
    <row r="7" spans="1:7" x14ac:dyDescent="0.25">
      <c r="A7" s="9" t="s">
        <v>8</v>
      </c>
      <c r="B7" s="9" t="s">
        <v>88</v>
      </c>
      <c r="C7" s="9">
        <v>22</v>
      </c>
      <c r="D7" s="9">
        <v>21</v>
      </c>
      <c r="E7" s="9">
        <v>1</v>
      </c>
      <c r="F7" s="26">
        <v>0.95454545454545459</v>
      </c>
      <c r="G7" s="27">
        <v>4.5454545454545456E-2</v>
      </c>
    </row>
    <row r="8" spans="1:7" x14ac:dyDescent="0.25">
      <c r="A8" s="9" t="s">
        <v>13</v>
      </c>
      <c r="B8" s="9" t="s">
        <v>83</v>
      </c>
      <c r="C8" s="9">
        <v>22</v>
      </c>
      <c r="D8" s="9">
        <v>18</v>
      </c>
      <c r="E8" s="9">
        <v>4</v>
      </c>
      <c r="F8" s="26">
        <v>0.81818181818181823</v>
      </c>
      <c r="G8" s="27">
        <v>0.18181818181818182</v>
      </c>
    </row>
    <row r="9" spans="1:7" x14ac:dyDescent="0.25">
      <c r="A9" s="9" t="s">
        <v>13</v>
      </c>
      <c r="B9" s="9" t="s">
        <v>84</v>
      </c>
      <c r="C9" s="9">
        <v>22</v>
      </c>
      <c r="D9" s="9">
        <v>19</v>
      </c>
      <c r="E9" s="9">
        <v>3</v>
      </c>
      <c r="F9" s="26">
        <v>0.86363636363636365</v>
      </c>
      <c r="G9" s="27">
        <v>0.13636363636363635</v>
      </c>
    </row>
    <row r="10" spans="1:7" x14ac:dyDescent="0.25">
      <c r="A10" s="9" t="s">
        <v>13</v>
      </c>
      <c r="B10" s="9" t="s">
        <v>85</v>
      </c>
      <c r="C10" s="9">
        <v>22</v>
      </c>
      <c r="D10" s="9">
        <v>17</v>
      </c>
      <c r="E10" s="9">
        <v>5</v>
      </c>
      <c r="F10" s="26">
        <v>0.77272727272727271</v>
      </c>
      <c r="G10" s="27">
        <v>0.22727272727272727</v>
      </c>
    </row>
    <row r="11" spans="1:7" x14ac:dyDescent="0.25">
      <c r="A11" s="9" t="s">
        <v>13</v>
      </c>
      <c r="B11" s="9" t="s">
        <v>86</v>
      </c>
      <c r="C11" s="9">
        <v>22</v>
      </c>
      <c r="D11" s="9">
        <v>19</v>
      </c>
      <c r="E11" s="9">
        <v>3</v>
      </c>
      <c r="F11" s="26">
        <v>0.86363636363636365</v>
      </c>
      <c r="G11" s="27">
        <v>0.13636363636363635</v>
      </c>
    </row>
    <row r="12" spans="1:7" x14ac:dyDescent="0.25">
      <c r="A12" s="9" t="s">
        <v>13</v>
      </c>
      <c r="B12" s="9" t="s">
        <v>87</v>
      </c>
      <c r="C12" s="9">
        <v>22</v>
      </c>
      <c r="D12" s="9">
        <v>16</v>
      </c>
      <c r="E12" s="9">
        <v>6</v>
      </c>
      <c r="F12" s="26">
        <v>0.72727272727272729</v>
      </c>
      <c r="G12" s="27">
        <v>0.27272727272727271</v>
      </c>
    </row>
    <row r="13" spans="1:7" x14ac:dyDescent="0.25">
      <c r="A13" s="9" t="s">
        <v>13</v>
      </c>
      <c r="B13" s="9" t="s">
        <v>88</v>
      </c>
      <c r="C13" s="9">
        <v>22</v>
      </c>
      <c r="D13" s="9">
        <v>18</v>
      </c>
      <c r="E13" s="9">
        <v>4</v>
      </c>
      <c r="F13" s="26">
        <v>0.81818181818181823</v>
      </c>
      <c r="G13" s="27">
        <v>0.18181818181818182</v>
      </c>
    </row>
    <row r="14" spans="1:7" x14ac:dyDescent="0.25">
      <c r="A14" s="9" t="s">
        <v>18</v>
      </c>
      <c r="B14" s="9" t="s">
        <v>83</v>
      </c>
      <c r="C14" s="9">
        <v>22</v>
      </c>
      <c r="D14" s="9">
        <v>19</v>
      </c>
      <c r="E14" s="9">
        <v>3</v>
      </c>
      <c r="F14" s="26">
        <v>0.86363636363636365</v>
      </c>
      <c r="G14" s="27">
        <v>0.13636363636363635</v>
      </c>
    </row>
    <row r="15" spans="1:7" x14ac:dyDescent="0.25">
      <c r="A15" s="9" t="s">
        <v>18</v>
      </c>
      <c r="B15" s="9" t="s">
        <v>84</v>
      </c>
      <c r="C15" s="9">
        <v>22</v>
      </c>
      <c r="D15" s="9">
        <v>20</v>
      </c>
      <c r="E15" s="9">
        <v>2</v>
      </c>
      <c r="F15" s="26">
        <v>0.90909090909090906</v>
      </c>
      <c r="G15" s="27">
        <v>9.0909090909090912E-2</v>
      </c>
    </row>
    <row r="16" spans="1:7" x14ac:dyDescent="0.25">
      <c r="A16" s="9" t="s">
        <v>18</v>
      </c>
      <c r="B16" s="9" t="s">
        <v>85</v>
      </c>
      <c r="C16" s="9">
        <v>22</v>
      </c>
      <c r="D16" s="9">
        <v>22</v>
      </c>
      <c r="E16" s="9">
        <v>0</v>
      </c>
      <c r="F16" s="26">
        <v>1</v>
      </c>
      <c r="G16" s="27">
        <v>0</v>
      </c>
    </row>
    <row r="17" spans="1:7" x14ac:dyDescent="0.25">
      <c r="A17" s="9" t="s">
        <v>18</v>
      </c>
      <c r="B17" s="9" t="s">
        <v>86</v>
      </c>
      <c r="C17" s="9">
        <v>22</v>
      </c>
      <c r="D17" s="9">
        <v>22</v>
      </c>
      <c r="E17" s="9">
        <v>0</v>
      </c>
      <c r="F17" s="26">
        <v>1</v>
      </c>
      <c r="G17" s="27">
        <v>0</v>
      </c>
    </row>
    <row r="18" spans="1:7" x14ac:dyDescent="0.25">
      <c r="A18" s="9" t="s">
        <v>18</v>
      </c>
      <c r="B18" s="9" t="s">
        <v>87</v>
      </c>
      <c r="C18" s="9">
        <v>22</v>
      </c>
      <c r="D18" s="9">
        <v>17</v>
      </c>
      <c r="E18" s="9">
        <v>5</v>
      </c>
      <c r="F18" s="26">
        <v>0.77272727272727271</v>
      </c>
      <c r="G18" s="27">
        <v>0.22727272727272727</v>
      </c>
    </row>
    <row r="19" spans="1:7" x14ac:dyDescent="0.25">
      <c r="A19" s="9" t="s">
        <v>18</v>
      </c>
      <c r="B19" s="9" t="s">
        <v>88</v>
      </c>
      <c r="C19" s="9">
        <v>22</v>
      </c>
      <c r="D19" s="9">
        <v>17</v>
      </c>
      <c r="E19" s="9">
        <v>5</v>
      </c>
      <c r="F19" s="26">
        <v>0.77272727272727271</v>
      </c>
      <c r="G19" s="27">
        <v>0.22727272727272727</v>
      </c>
    </row>
    <row r="20" spans="1:7" x14ac:dyDescent="0.25">
      <c r="A20" s="9" t="s">
        <v>22</v>
      </c>
      <c r="B20" s="9" t="s">
        <v>83</v>
      </c>
      <c r="C20" s="9">
        <v>22</v>
      </c>
      <c r="D20" s="9">
        <v>22</v>
      </c>
      <c r="E20" s="9">
        <v>0</v>
      </c>
      <c r="F20" s="26">
        <v>1</v>
      </c>
      <c r="G20" s="27">
        <v>0</v>
      </c>
    </row>
    <row r="21" spans="1:7" x14ac:dyDescent="0.25">
      <c r="A21" s="9" t="s">
        <v>22</v>
      </c>
      <c r="B21" s="9" t="s">
        <v>84</v>
      </c>
      <c r="C21" s="9">
        <v>22</v>
      </c>
      <c r="D21" s="9">
        <v>21</v>
      </c>
      <c r="E21" s="9">
        <v>1</v>
      </c>
      <c r="F21" s="26">
        <v>0.95454545454545459</v>
      </c>
      <c r="G21" s="27">
        <v>4.5454545454545456E-2</v>
      </c>
    </row>
    <row r="22" spans="1:7" x14ac:dyDescent="0.25">
      <c r="A22" s="9" t="s">
        <v>22</v>
      </c>
      <c r="B22" s="9" t="s">
        <v>85</v>
      </c>
      <c r="C22" s="9">
        <v>22</v>
      </c>
      <c r="D22" s="9">
        <v>20</v>
      </c>
      <c r="E22" s="9">
        <v>2</v>
      </c>
      <c r="F22" s="26">
        <v>0.90909090909090906</v>
      </c>
      <c r="G22" s="27">
        <v>9.0909090909090912E-2</v>
      </c>
    </row>
    <row r="23" spans="1:7" x14ac:dyDescent="0.25">
      <c r="A23" s="9" t="s">
        <v>22</v>
      </c>
      <c r="B23" s="9" t="s">
        <v>86</v>
      </c>
      <c r="C23" s="9">
        <v>22</v>
      </c>
      <c r="D23" s="9">
        <v>19</v>
      </c>
      <c r="E23" s="9">
        <v>3</v>
      </c>
      <c r="F23" s="26">
        <v>0.86363636363636365</v>
      </c>
      <c r="G23" s="27">
        <v>0.13636363636363635</v>
      </c>
    </row>
    <row r="24" spans="1:7" x14ac:dyDescent="0.25">
      <c r="A24" s="9" t="s">
        <v>22</v>
      </c>
      <c r="B24" s="9" t="s">
        <v>87</v>
      </c>
      <c r="C24" s="9">
        <v>22</v>
      </c>
      <c r="D24" s="9">
        <v>22</v>
      </c>
      <c r="E24" s="9">
        <v>0</v>
      </c>
      <c r="F24" s="26">
        <v>1</v>
      </c>
      <c r="G24" s="27">
        <v>0</v>
      </c>
    </row>
    <row r="25" spans="1:7" x14ac:dyDescent="0.25">
      <c r="A25" s="9" t="s">
        <v>22</v>
      </c>
      <c r="B25" s="9" t="s">
        <v>88</v>
      </c>
      <c r="C25" s="9">
        <v>22</v>
      </c>
      <c r="D25" s="9">
        <v>18</v>
      </c>
      <c r="E25" s="9">
        <v>4</v>
      </c>
      <c r="F25" s="26">
        <v>0.81818181818181823</v>
      </c>
      <c r="G25" s="27">
        <v>0.18181818181818182</v>
      </c>
    </row>
    <row r="26" spans="1:7" x14ac:dyDescent="0.25">
      <c r="A26" s="9" t="s">
        <v>26</v>
      </c>
      <c r="B26" s="9" t="s">
        <v>83</v>
      </c>
      <c r="C26" s="9">
        <v>22</v>
      </c>
      <c r="D26" s="9">
        <v>18</v>
      </c>
      <c r="E26" s="9">
        <v>4</v>
      </c>
      <c r="F26" s="26">
        <v>0.81818181818181823</v>
      </c>
      <c r="G26" s="27">
        <v>0.18181818181818182</v>
      </c>
    </row>
    <row r="27" spans="1:7" x14ac:dyDescent="0.25">
      <c r="A27" s="9" t="s">
        <v>26</v>
      </c>
      <c r="B27" s="9" t="s">
        <v>84</v>
      </c>
      <c r="C27" s="9">
        <v>22</v>
      </c>
      <c r="D27" s="9">
        <v>21</v>
      </c>
      <c r="E27" s="9">
        <v>1</v>
      </c>
      <c r="F27" s="26">
        <v>0.95454545454545459</v>
      </c>
      <c r="G27" s="27">
        <v>4.5454545454545456E-2</v>
      </c>
    </row>
    <row r="28" spans="1:7" x14ac:dyDescent="0.25">
      <c r="A28" s="9" t="s">
        <v>26</v>
      </c>
      <c r="B28" s="9" t="s">
        <v>85</v>
      </c>
      <c r="C28" s="9">
        <v>22</v>
      </c>
      <c r="D28" s="9">
        <v>17</v>
      </c>
      <c r="E28" s="9">
        <v>5</v>
      </c>
      <c r="F28" s="26">
        <v>0.77272727272727271</v>
      </c>
      <c r="G28" s="27">
        <v>0.22727272727272727</v>
      </c>
    </row>
    <row r="29" spans="1:7" x14ac:dyDescent="0.25">
      <c r="A29" s="9" t="s">
        <v>26</v>
      </c>
      <c r="B29" s="9" t="s">
        <v>86</v>
      </c>
      <c r="C29" s="9">
        <v>22</v>
      </c>
      <c r="D29" s="9">
        <v>20</v>
      </c>
      <c r="E29" s="9">
        <v>2</v>
      </c>
      <c r="F29" s="26">
        <v>0.90909090909090906</v>
      </c>
      <c r="G29" s="27">
        <v>9.0909090909090912E-2</v>
      </c>
    </row>
    <row r="30" spans="1:7" x14ac:dyDescent="0.25">
      <c r="A30" s="9" t="s">
        <v>26</v>
      </c>
      <c r="B30" s="9" t="s">
        <v>87</v>
      </c>
      <c r="C30" s="9">
        <v>22</v>
      </c>
      <c r="D30" s="9">
        <v>22</v>
      </c>
      <c r="E30" s="9">
        <v>0</v>
      </c>
      <c r="F30" s="26">
        <v>1</v>
      </c>
      <c r="G30" s="27">
        <v>0</v>
      </c>
    </row>
    <row r="31" spans="1:7" x14ac:dyDescent="0.25">
      <c r="A31" s="9" t="s">
        <v>26</v>
      </c>
      <c r="B31" s="9" t="s">
        <v>88</v>
      </c>
      <c r="C31" s="9">
        <v>22</v>
      </c>
      <c r="D31" s="9">
        <v>20</v>
      </c>
      <c r="E31" s="9">
        <v>2</v>
      </c>
      <c r="F31" s="26">
        <v>0.90909090909090906</v>
      </c>
      <c r="G31" s="27">
        <v>9.0909090909090912E-2</v>
      </c>
    </row>
    <row r="32" spans="1:7" x14ac:dyDescent="0.25">
      <c r="A32" s="9" t="s">
        <v>27</v>
      </c>
      <c r="B32" s="9" t="s">
        <v>83</v>
      </c>
      <c r="C32" s="9">
        <v>22</v>
      </c>
      <c r="D32" s="9">
        <v>17</v>
      </c>
      <c r="E32" s="9">
        <v>5</v>
      </c>
      <c r="F32" s="26">
        <v>0.77272727272727271</v>
      </c>
      <c r="G32" s="27">
        <v>0.22727272727272727</v>
      </c>
    </row>
    <row r="33" spans="1:7" x14ac:dyDescent="0.25">
      <c r="A33" s="9" t="s">
        <v>27</v>
      </c>
      <c r="B33" s="9" t="s">
        <v>84</v>
      </c>
      <c r="C33" s="9">
        <v>22</v>
      </c>
      <c r="D33" s="9">
        <v>22</v>
      </c>
      <c r="E33" s="9">
        <v>0</v>
      </c>
      <c r="F33" s="26">
        <v>1</v>
      </c>
      <c r="G33" s="27">
        <v>0</v>
      </c>
    </row>
    <row r="34" spans="1:7" x14ac:dyDescent="0.25">
      <c r="A34" s="9" t="s">
        <v>27</v>
      </c>
      <c r="B34" s="9" t="s">
        <v>85</v>
      </c>
      <c r="C34" s="9">
        <v>22</v>
      </c>
      <c r="D34" s="9">
        <v>22</v>
      </c>
      <c r="E34" s="9">
        <v>0</v>
      </c>
      <c r="F34" s="26">
        <v>1</v>
      </c>
      <c r="G34" s="27">
        <v>0</v>
      </c>
    </row>
    <row r="35" spans="1:7" x14ac:dyDescent="0.25">
      <c r="A35" s="9" t="s">
        <v>27</v>
      </c>
      <c r="B35" s="9" t="s">
        <v>86</v>
      </c>
      <c r="C35" s="9">
        <v>22</v>
      </c>
      <c r="D35" s="9">
        <v>16</v>
      </c>
      <c r="E35" s="9">
        <v>6</v>
      </c>
      <c r="F35" s="26">
        <v>0.72727272727272729</v>
      </c>
      <c r="G35" s="27">
        <v>0.27272727272727271</v>
      </c>
    </row>
    <row r="36" spans="1:7" x14ac:dyDescent="0.25">
      <c r="A36" s="9" t="s">
        <v>27</v>
      </c>
      <c r="B36" s="9" t="s">
        <v>87</v>
      </c>
      <c r="C36" s="9">
        <v>22</v>
      </c>
      <c r="D36" s="9">
        <v>21</v>
      </c>
      <c r="E36" s="9">
        <v>1</v>
      </c>
      <c r="F36" s="26">
        <v>0.95454545454545459</v>
      </c>
      <c r="G36" s="27">
        <v>4.5454545454545456E-2</v>
      </c>
    </row>
    <row r="37" spans="1:7" x14ac:dyDescent="0.25">
      <c r="A37" s="9" t="s">
        <v>27</v>
      </c>
      <c r="B37" s="9" t="s">
        <v>88</v>
      </c>
      <c r="C37" s="9">
        <v>22</v>
      </c>
      <c r="D37" s="9">
        <v>21</v>
      </c>
      <c r="E37" s="9">
        <v>1</v>
      </c>
      <c r="F37" s="26">
        <v>0.95454545454545459</v>
      </c>
      <c r="G37" s="27">
        <v>4.5454545454545456E-2</v>
      </c>
    </row>
    <row r="38" spans="1:7" x14ac:dyDescent="0.25">
      <c r="A38" s="9" t="s">
        <v>31</v>
      </c>
      <c r="B38" s="9" t="s">
        <v>83</v>
      </c>
      <c r="C38" s="9">
        <v>22</v>
      </c>
      <c r="D38" s="9">
        <v>22</v>
      </c>
      <c r="E38" s="9">
        <v>0</v>
      </c>
      <c r="F38" s="26">
        <v>1</v>
      </c>
      <c r="G38" s="27">
        <v>0</v>
      </c>
    </row>
    <row r="39" spans="1:7" x14ac:dyDescent="0.25">
      <c r="A39" s="9" t="s">
        <v>31</v>
      </c>
      <c r="B39" s="9" t="s">
        <v>84</v>
      </c>
      <c r="C39" s="9">
        <v>22</v>
      </c>
      <c r="D39" s="9">
        <v>18</v>
      </c>
      <c r="E39" s="9">
        <v>4</v>
      </c>
      <c r="F39" s="26">
        <v>0.81818181818181823</v>
      </c>
      <c r="G39" s="27">
        <v>0.18181818181818182</v>
      </c>
    </row>
    <row r="40" spans="1:7" x14ac:dyDescent="0.25">
      <c r="A40" s="9" t="s">
        <v>31</v>
      </c>
      <c r="B40" s="9" t="s">
        <v>85</v>
      </c>
      <c r="C40" s="9">
        <v>22</v>
      </c>
      <c r="D40" s="9">
        <v>18</v>
      </c>
      <c r="E40" s="9">
        <v>4</v>
      </c>
      <c r="F40" s="26">
        <v>0.81818181818181823</v>
      </c>
      <c r="G40" s="27">
        <v>0.18181818181818182</v>
      </c>
    </row>
    <row r="41" spans="1:7" x14ac:dyDescent="0.25">
      <c r="A41" s="9" t="s">
        <v>31</v>
      </c>
      <c r="B41" s="9" t="s">
        <v>86</v>
      </c>
      <c r="C41" s="9">
        <v>22</v>
      </c>
      <c r="D41" s="9">
        <v>22</v>
      </c>
      <c r="E41" s="9">
        <v>0</v>
      </c>
      <c r="F41" s="26">
        <v>1</v>
      </c>
      <c r="G41" s="27">
        <v>0</v>
      </c>
    </row>
    <row r="42" spans="1:7" x14ac:dyDescent="0.25">
      <c r="A42" s="9" t="s">
        <v>31</v>
      </c>
      <c r="B42" s="9" t="s">
        <v>87</v>
      </c>
      <c r="C42" s="9">
        <v>22</v>
      </c>
      <c r="D42" s="9">
        <v>21</v>
      </c>
      <c r="E42" s="9">
        <v>1</v>
      </c>
      <c r="F42" s="26">
        <v>0.95454545454545459</v>
      </c>
      <c r="G42" s="27">
        <v>4.5454545454545456E-2</v>
      </c>
    </row>
    <row r="43" spans="1:7" x14ac:dyDescent="0.25">
      <c r="A43" s="9" t="s">
        <v>31</v>
      </c>
      <c r="B43" s="9" t="s">
        <v>88</v>
      </c>
      <c r="C43" s="9">
        <v>22</v>
      </c>
      <c r="D43" s="9">
        <v>16</v>
      </c>
      <c r="E43" s="9">
        <v>6</v>
      </c>
      <c r="F43" s="26">
        <v>0.72727272727272729</v>
      </c>
      <c r="G43" s="27">
        <v>0.27272727272727271</v>
      </c>
    </row>
    <row r="44" spans="1:7" x14ac:dyDescent="0.25">
      <c r="A44" s="9" t="s">
        <v>32</v>
      </c>
      <c r="B44" s="9" t="s">
        <v>83</v>
      </c>
      <c r="C44" s="9">
        <v>22</v>
      </c>
      <c r="D44" s="9">
        <v>16</v>
      </c>
      <c r="E44" s="9">
        <v>6</v>
      </c>
      <c r="F44" s="26">
        <v>0.72727272727272729</v>
      </c>
      <c r="G44" s="27">
        <v>0.27272727272727271</v>
      </c>
    </row>
    <row r="45" spans="1:7" x14ac:dyDescent="0.25">
      <c r="A45" s="9" t="s">
        <v>32</v>
      </c>
      <c r="B45" s="9" t="s">
        <v>84</v>
      </c>
      <c r="C45" s="9">
        <v>22</v>
      </c>
      <c r="D45" s="9">
        <v>20</v>
      </c>
      <c r="E45" s="9">
        <v>2</v>
      </c>
      <c r="F45" s="26">
        <v>0.90909090909090906</v>
      </c>
      <c r="G45" s="27">
        <v>9.0909090909090912E-2</v>
      </c>
    </row>
    <row r="46" spans="1:7" x14ac:dyDescent="0.25">
      <c r="A46" s="9" t="s">
        <v>32</v>
      </c>
      <c r="B46" s="9" t="s">
        <v>85</v>
      </c>
      <c r="C46" s="9">
        <v>22</v>
      </c>
      <c r="D46" s="9">
        <v>18</v>
      </c>
      <c r="E46" s="9">
        <v>4</v>
      </c>
      <c r="F46" s="26">
        <v>0.81818181818181823</v>
      </c>
      <c r="G46" s="27">
        <v>0.18181818181818182</v>
      </c>
    </row>
    <row r="47" spans="1:7" x14ac:dyDescent="0.25">
      <c r="A47" s="9" t="s">
        <v>32</v>
      </c>
      <c r="B47" s="9" t="s">
        <v>86</v>
      </c>
      <c r="C47" s="9">
        <v>22</v>
      </c>
      <c r="D47" s="9">
        <v>17</v>
      </c>
      <c r="E47" s="9">
        <v>5</v>
      </c>
      <c r="F47" s="26">
        <v>0.77272727272727271</v>
      </c>
      <c r="G47" s="27">
        <v>0.22727272727272727</v>
      </c>
    </row>
    <row r="48" spans="1:7" x14ac:dyDescent="0.25">
      <c r="A48" s="9" t="s">
        <v>32</v>
      </c>
      <c r="B48" s="9" t="s">
        <v>87</v>
      </c>
      <c r="C48" s="9">
        <v>22</v>
      </c>
      <c r="D48" s="9">
        <v>16</v>
      </c>
      <c r="E48" s="9">
        <v>6</v>
      </c>
      <c r="F48" s="26">
        <v>0.72727272727272729</v>
      </c>
      <c r="G48" s="27">
        <v>0.27272727272727271</v>
      </c>
    </row>
    <row r="49" spans="1:7" x14ac:dyDescent="0.25">
      <c r="A49" s="9" t="s">
        <v>32</v>
      </c>
      <c r="B49" s="9" t="s">
        <v>88</v>
      </c>
      <c r="C49" s="9">
        <v>22</v>
      </c>
      <c r="D49" s="9">
        <v>21</v>
      </c>
      <c r="E49" s="9">
        <v>1</v>
      </c>
      <c r="F49" s="26">
        <v>0.95454545454545459</v>
      </c>
      <c r="G49" s="27">
        <v>4.5454545454545456E-2</v>
      </c>
    </row>
    <row r="50" spans="1:7" x14ac:dyDescent="0.25">
      <c r="A50" s="9" t="s">
        <v>33</v>
      </c>
      <c r="B50" s="9" t="s">
        <v>83</v>
      </c>
      <c r="C50" s="9">
        <v>22</v>
      </c>
      <c r="D50" s="9">
        <v>20</v>
      </c>
      <c r="E50" s="9">
        <v>2</v>
      </c>
      <c r="F50" s="26">
        <v>0.90909090909090906</v>
      </c>
      <c r="G50" s="27">
        <v>9.0909090909090912E-2</v>
      </c>
    </row>
    <row r="51" spans="1:7" x14ac:dyDescent="0.25">
      <c r="A51" s="9" t="s">
        <v>33</v>
      </c>
      <c r="B51" s="9" t="s">
        <v>84</v>
      </c>
      <c r="C51" s="9">
        <v>22</v>
      </c>
      <c r="D51" s="9">
        <v>18</v>
      </c>
      <c r="E51" s="9">
        <v>4</v>
      </c>
      <c r="F51" s="26">
        <v>0.81818181818181823</v>
      </c>
      <c r="G51" s="27">
        <v>0.18181818181818182</v>
      </c>
    </row>
    <row r="52" spans="1:7" x14ac:dyDescent="0.25">
      <c r="A52" s="9" t="s">
        <v>33</v>
      </c>
      <c r="B52" s="9" t="s">
        <v>85</v>
      </c>
      <c r="C52" s="9">
        <v>22</v>
      </c>
      <c r="D52" s="9">
        <v>18</v>
      </c>
      <c r="E52" s="9">
        <v>4</v>
      </c>
      <c r="F52" s="26">
        <v>0.81818181818181823</v>
      </c>
      <c r="G52" s="27">
        <v>0.18181818181818182</v>
      </c>
    </row>
    <row r="53" spans="1:7" x14ac:dyDescent="0.25">
      <c r="A53" s="9" t="s">
        <v>33</v>
      </c>
      <c r="B53" s="9" t="s">
        <v>86</v>
      </c>
      <c r="C53" s="9">
        <v>22</v>
      </c>
      <c r="D53" s="9">
        <v>20</v>
      </c>
      <c r="E53" s="9">
        <v>2</v>
      </c>
      <c r="F53" s="26">
        <v>0.90909090909090906</v>
      </c>
      <c r="G53" s="27">
        <v>9.0909090909090912E-2</v>
      </c>
    </row>
    <row r="54" spans="1:7" x14ac:dyDescent="0.25">
      <c r="A54" s="9" t="s">
        <v>33</v>
      </c>
      <c r="B54" s="9" t="s">
        <v>87</v>
      </c>
      <c r="C54" s="9">
        <v>22</v>
      </c>
      <c r="D54" s="9">
        <v>16</v>
      </c>
      <c r="E54" s="9">
        <v>6</v>
      </c>
      <c r="F54" s="26">
        <v>0.72727272727272729</v>
      </c>
      <c r="G54" s="27">
        <v>0.27272727272727271</v>
      </c>
    </row>
    <row r="55" spans="1:7" x14ac:dyDescent="0.25">
      <c r="A55" s="9" t="s">
        <v>33</v>
      </c>
      <c r="B55" s="9" t="s">
        <v>88</v>
      </c>
      <c r="C55" s="9">
        <v>22</v>
      </c>
      <c r="D55" s="9">
        <v>17</v>
      </c>
      <c r="E55" s="9">
        <v>5</v>
      </c>
      <c r="F55" s="26">
        <v>0.77272727272727271</v>
      </c>
      <c r="G55" s="27">
        <v>0.22727272727272727</v>
      </c>
    </row>
    <row r="56" spans="1:7" x14ac:dyDescent="0.25">
      <c r="A56" s="9" t="s">
        <v>34</v>
      </c>
      <c r="B56" s="9" t="s">
        <v>83</v>
      </c>
      <c r="C56" s="9">
        <v>22</v>
      </c>
      <c r="D56" s="9">
        <v>16</v>
      </c>
      <c r="E56" s="9">
        <v>6</v>
      </c>
      <c r="F56" s="26">
        <v>0.72727272727272729</v>
      </c>
      <c r="G56" s="27">
        <v>0.27272727272727271</v>
      </c>
    </row>
    <row r="57" spans="1:7" x14ac:dyDescent="0.25">
      <c r="A57" s="9" t="s">
        <v>34</v>
      </c>
      <c r="B57" s="9" t="s">
        <v>84</v>
      </c>
      <c r="C57" s="9">
        <v>22</v>
      </c>
      <c r="D57" s="9">
        <v>18</v>
      </c>
      <c r="E57" s="9">
        <v>4</v>
      </c>
      <c r="F57" s="26">
        <v>0.81818181818181823</v>
      </c>
      <c r="G57" s="27">
        <v>0.18181818181818182</v>
      </c>
    </row>
    <row r="58" spans="1:7" x14ac:dyDescent="0.25">
      <c r="A58" s="9" t="s">
        <v>34</v>
      </c>
      <c r="B58" s="9" t="s">
        <v>85</v>
      </c>
      <c r="C58" s="9">
        <v>22</v>
      </c>
      <c r="D58" s="9">
        <v>21</v>
      </c>
      <c r="E58" s="9">
        <v>1</v>
      </c>
      <c r="F58" s="26">
        <v>0.95454545454545459</v>
      </c>
      <c r="G58" s="27">
        <v>4.5454545454545456E-2</v>
      </c>
    </row>
    <row r="59" spans="1:7" x14ac:dyDescent="0.25">
      <c r="A59" s="9" t="s">
        <v>34</v>
      </c>
      <c r="B59" s="9" t="s">
        <v>86</v>
      </c>
      <c r="C59" s="9">
        <v>22</v>
      </c>
      <c r="D59" s="9">
        <v>16</v>
      </c>
      <c r="E59" s="9">
        <v>6</v>
      </c>
      <c r="F59" s="26">
        <v>0.72727272727272729</v>
      </c>
      <c r="G59" s="27">
        <v>0.27272727272727271</v>
      </c>
    </row>
    <row r="60" spans="1:7" x14ac:dyDescent="0.25">
      <c r="A60" s="9" t="s">
        <v>34</v>
      </c>
      <c r="B60" s="9" t="s">
        <v>87</v>
      </c>
      <c r="C60" s="9">
        <v>22</v>
      </c>
      <c r="D60" s="9">
        <v>20</v>
      </c>
      <c r="E60" s="9">
        <v>2</v>
      </c>
      <c r="F60" s="26">
        <v>0.90909090909090906</v>
      </c>
      <c r="G60" s="27">
        <v>9.0909090909090912E-2</v>
      </c>
    </row>
    <row r="61" spans="1:7" x14ac:dyDescent="0.25">
      <c r="A61" s="9" t="s">
        <v>34</v>
      </c>
      <c r="B61" s="9" t="s">
        <v>88</v>
      </c>
      <c r="C61" s="9">
        <v>22</v>
      </c>
      <c r="D61" s="9">
        <v>21</v>
      </c>
      <c r="E61" s="9">
        <v>1</v>
      </c>
      <c r="F61" s="26">
        <v>0.95454545454545459</v>
      </c>
      <c r="G61" s="27">
        <v>4.5454545454545456E-2</v>
      </c>
    </row>
    <row r="62" spans="1:7" x14ac:dyDescent="0.25">
      <c r="A62" s="9" t="s">
        <v>36</v>
      </c>
      <c r="B62" s="9" t="s">
        <v>83</v>
      </c>
      <c r="C62" s="9">
        <v>22</v>
      </c>
      <c r="D62" s="9">
        <v>16</v>
      </c>
      <c r="E62" s="9">
        <v>6</v>
      </c>
      <c r="F62" s="26">
        <v>0.72727272727272729</v>
      </c>
      <c r="G62" s="27">
        <v>0.27272727272727271</v>
      </c>
    </row>
    <row r="63" spans="1:7" x14ac:dyDescent="0.25">
      <c r="A63" s="9" t="s">
        <v>36</v>
      </c>
      <c r="B63" s="9" t="s">
        <v>84</v>
      </c>
      <c r="C63" s="9">
        <v>22</v>
      </c>
      <c r="D63" s="9">
        <v>18</v>
      </c>
      <c r="E63" s="9">
        <v>4</v>
      </c>
      <c r="F63" s="26">
        <v>0.81818181818181823</v>
      </c>
      <c r="G63" s="27">
        <v>0.18181818181818182</v>
      </c>
    </row>
    <row r="64" spans="1:7" x14ac:dyDescent="0.25">
      <c r="A64" s="9" t="s">
        <v>36</v>
      </c>
      <c r="B64" s="9" t="s">
        <v>85</v>
      </c>
      <c r="C64" s="9">
        <v>22</v>
      </c>
      <c r="D64" s="9">
        <v>21</v>
      </c>
      <c r="E64" s="9">
        <v>1</v>
      </c>
      <c r="F64" s="26">
        <v>0.95454545454545459</v>
      </c>
      <c r="G64" s="27">
        <v>4.5454545454545456E-2</v>
      </c>
    </row>
    <row r="65" spans="1:7" x14ac:dyDescent="0.25">
      <c r="A65" s="9" t="s">
        <v>36</v>
      </c>
      <c r="B65" s="9" t="s">
        <v>86</v>
      </c>
      <c r="C65" s="9">
        <v>22</v>
      </c>
      <c r="D65" s="9">
        <v>16</v>
      </c>
      <c r="E65" s="9">
        <v>6</v>
      </c>
      <c r="F65" s="26">
        <v>0.72727272727272729</v>
      </c>
      <c r="G65" s="27">
        <v>0.27272727272727271</v>
      </c>
    </row>
    <row r="66" spans="1:7" x14ac:dyDescent="0.25">
      <c r="A66" s="9" t="s">
        <v>36</v>
      </c>
      <c r="B66" s="9" t="s">
        <v>87</v>
      </c>
      <c r="C66" s="9">
        <v>22</v>
      </c>
      <c r="D66" s="9">
        <v>19</v>
      </c>
      <c r="E66" s="9">
        <v>3</v>
      </c>
      <c r="F66" s="26">
        <v>0.86363636363636365</v>
      </c>
      <c r="G66" s="27">
        <v>0.13636363636363635</v>
      </c>
    </row>
    <row r="67" spans="1:7" x14ac:dyDescent="0.25">
      <c r="A67" s="9" t="s">
        <v>36</v>
      </c>
      <c r="B67" s="9" t="s">
        <v>88</v>
      </c>
      <c r="C67" s="9">
        <v>22</v>
      </c>
      <c r="D67" s="9">
        <v>16</v>
      </c>
      <c r="E67" s="9">
        <v>6</v>
      </c>
      <c r="F67" s="26">
        <v>0.72727272727272729</v>
      </c>
      <c r="G67" s="27">
        <v>0.27272727272727271</v>
      </c>
    </row>
    <row r="68" spans="1:7" x14ac:dyDescent="0.25">
      <c r="A68" s="9" t="s">
        <v>38</v>
      </c>
      <c r="B68" s="9" t="s">
        <v>83</v>
      </c>
      <c r="C68" s="9">
        <v>22</v>
      </c>
      <c r="D68" s="9">
        <v>18</v>
      </c>
      <c r="E68" s="9">
        <v>4</v>
      </c>
      <c r="F68" s="26">
        <v>0.81818181818181823</v>
      </c>
      <c r="G68" s="27">
        <v>0.18181818181818182</v>
      </c>
    </row>
    <row r="69" spans="1:7" x14ac:dyDescent="0.25">
      <c r="A69" s="9" t="s">
        <v>38</v>
      </c>
      <c r="B69" s="9" t="s">
        <v>84</v>
      </c>
      <c r="C69" s="9">
        <v>22</v>
      </c>
      <c r="D69" s="9">
        <v>22</v>
      </c>
      <c r="E69" s="9">
        <v>0</v>
      </c>
      <c r="F69" s="26">
        <v>1</v>
      </c>
      <c r="G69" s="27">
        <v>0</v>
      </c>
    </row>
    <row r="70" spans="1:7" x14ac:dyDescent="0.25">
      <c r="A70" s="9" t="s">
        <v>38</v>
      </c>
      <c r="B70" s="9" t="s">
        <v>85</v>
      </c>
      <c r="C70" s="9">
        <v>22</v>
      </c>
      <c r="D70" s="9">
        <v>18</v>
      </c>
      <c r="E70" s="9">
        <v>4</v>
      </c>
      <c r="F70" s="26">
        <v>0.81818181818181823</v>
      </c>
      <c r="G70" s="27">
        <v>0.18181818181818182</v>
      </c>
    </row>
    <row r="71" spans="1:7" x14ac:dyDescent="0.25">
      <c r="A71" s="9" t="s">
        <v>38</v>
      </c>
      <c r="B71" s="9" t="s">
        <v>86</v>
      </c>
      <c r="C71" s="9">
        <v>22</v>
      </c>
      <c r="D71" s="9">
        <v>17</v>
      </c>
      <c r="E71" s="9">
        <v>5</v>
      </c>
      <c r="F71" s="26">
        <v>0.77272727272727271</v>
      </c>
      <c r="G71" s="27">
        <v>0.22727272727272727</v>
      </c>
    </row>
    <row r="72" spans="1:7" x14ac:dyDescent="0.25">
      <c r="A72" s="9" t="s">
        <v>38</v>
      </c>
      <c r="B72" s="9" t="s">
        <v>87</v>
      </c>
      <c r="C72" s="9">
        <v>22</v>
      </c>
      <c r="D72" s="9">
        <v>19</v>
      </c>
      <c r="E72" s="9">
        <v>3</v>
      </c>
      <c r="F72" s="26">
        <v>0.86363636363636365</v>
      </c>
      <c r="G72" s="27">
        <v>0.13636363636363635</v>
      </c>
    </row>
    <row r="73" spans="1:7" x14ac:dyDescent="0.25">
      <c r="A73" s="9" t="s">
        <v>38</v>
      </c>
      <c r="B73" s="9" t="s">
        <v>88</v>
      </c>
      <c r="C73" s="9">
        <v>22</v>
      </c>
      <c r="D73" s="9">
        <v>17</v>
      </c>
      <c r="E73" s="9">
        <v>5</v>
      </c>
      <c r="F73" s="26">
        <v>0.77272727272727271</v>
      </c>
      <c r="G73" s="27">
        <v>0.22727272727272727</v>
      </c>
    </row>
    <row r="74" spans="1:7" x14ac:dyDescent="0.25">
      <c r="A74" s="9" t="s">
        <v>39</v>
      </c>
      <c r="B74" s="9" t="s">
        <v>83</v>
      </c>
      <c r="C74" s="9">
        <v>22</v>
      </c>
      <c r="D74" s="9">
        <v>22</v>
      </c>
      <c r="E74" s="9">
        <v>0</v>
      </c>
      <c r="F74" s="26">
        <v>1</v>
      </c>
      <c r="G74" s="27">
        <v>0</v>
      </c>
    </row>
    <row r="75" spans="1:7" x14ac:dyDescent="0.25">
      <c r="A75" s="9" t="s">
        <v>39</v>
      </c>
      <c r="B75" s="9" t="s">
        <v>84</v>
      </c>
      <c r="C75" s="9">
        <v>22</v>
      </c>
      <c r="D75" s="9">
        <v>16</v>
      </c>
      <c r="E75" s="9">
        <v>6</v>
      </c>
      <c r="F75" s="26">
        <v>0.72727272727272729</v>
      </c>
      <c r="G75" s="27">
        <v>0.27272727272727271</v>
      </c>
    </row>
    <row r="76" spans="1:7" x14ac:dyDescent="0.25">
      <c r="A76" s="9" t="s">
        <v>39</v>
      </c>
      <c r="B76" s="9" t="s">
        <v>85</v>
      </c>
      <c r="C76" s="9">
        <v>22</v>
      </c>
      <c r="D76" s="9">
        <v>19</v>
      </c>
      <c r="E76" s="9">
        <v>3</v>
      </c>
      <c r="F76" s="26">
        <v>0.86363636363636365</v>
      </c>
      <c r="G76" s="27">
        <v>0.13636363636363635</v>
      </c>
    </row>
    <row r="77" spans="1:7" x14ac:dyDescent="0.25">
      <c r="A77" s="9" t="s">
        <v>39</v>
      </c>
      <c r="B77" s="9" t="s">
        <v>86</v>
      </c>
      <c r="C77" s="9">
        <v>22</v>
      </c>
      <c r="D77" s="9">
        <v>21</v>
      </c>
      <c r="E77" s="9">
        <v>1</v>
      </c>
      <c r="F77" s="26">
        <v>0.95454545454545459</v>
      </c>
      <c r="G77" s="27">
        <v>4.5454545454545456E-2</v>
      </c>
    </row>
    <row r="78" spans="1:7" x14ac:dyDescent="0.25">
      <c r="A78" s="9" t="s">
        <v>39</v>
      </c>
      <c r="B78" s="9" t="s">
        <v>87</v>
      </c>
      <c r="C78" s="9">
        <v>22</v>
      </c>
      <c r="D78" s="9">
        <v>17</v>
      </c>
      <c r="E78" s="9">
        <v>5</v>
      </c>
      <c r="F78" s="26">
        <v>0.77272727272727271</v>
      </c>
      <c r="G78" s="27">
        <v>0.22727272727272727</v>
      </c>
    </row>
    <row r="79" spans="1:7" x14ac:dyDescent="0.25">
      <c r="A79" s="9" t="s">
        <v>39</v>
      </c>
      <c r="B79" s="9" t="s">
        <v>88</v>
      </c>
      <c r="C79" s="9">
        <v>22</v>
      </c>
      <c r="D79" s="9">
        <v>22</v>
      </c>
      <c r="E79" s="9">
        <v>0</v>
      </c>
      <c r="F79" s="26">
        <v>1</v>
      </c>
      <c r="G79" s="27">
        <v>0</v>
      </c>
    </row>
    <row r="80" spans="1:7" x14ac:dyDescent="0.25">
      <c r="A80" s="9" t="s">
        <v>40</v>
      </c>
      <c r="B80" s="9" t="s">
        <v>83</v>
      </c>
      <c r="C80" s="9">
        <v>22</v>
      </c>
      <c r="D80" s="9">
        <v>19</v>
      </c>
      <c r="E80" s="9">
        <v>3</v>
      </c>
      <c r="F80" s="26">
        <v>0.86363636363636365</v>
      </c>
      <c r="G80" s="27">
        <v>0.13636363636363635</v>
      </c>
    </row>
    <row r="81" spans="1:7" x14ac:dyDescent="0.25">
      <c r="A81" s="9" t="s">
        <v>40</v>
      </c>
      <c r="B81" s="9" t="s">
        <v>84</v>
      </c>
      <c r="C81" s="9">
        <v>22</v>
      </c>
      <c r="D81" s="9">
        <v>18</v>
      </c>
      <c r="E81" s="9">
        <v>4</v>
      </c>
      <c r="F81" s="26">
        <v>0.81818181818181823</v>
      </c>
      <c r="G81" s="27">
        <v>0.18181818181818182</v>
      </c>
    </row>
    <row r="82" spans="1:7" x14ac:dyDescent="0.25">
      <c r="A82" s="9" t="s">
        <v>40</v>
      </c>
      <c r="B82" s="9" t="s">
        <v>85</v>
      </c>
      <c r="C82" s="9">
        <v>22</v>
      </c>
      <c r="D82" s="9">
        <v>16</v>
      </c>
      <c r="E82" s="9">
        <v>6</v>
      </c>
      <c r="F82" s="26">
        <v>0.72727272727272729</v>
      </c>
      <c r="G82" s="27">
        <v>0.27272727272727271</v>
      </c>
    </row>
    <row r="83" spans="1:7" x14ac:dyDescent="0.25">
      <c r="A83" s="9" t="s">
        <v>40</v>
      </c>
      <c r="B83" s="9" t="s">
        <v>86</v>
      </c>
      <c r="C83" s="9">
        <v>22</v>
      </c>
      <c r="D83" s="9">
        <v>20</v>
      </c>
      <c r="E83" s="9">
        <v>2</v>
      </c>
      <c r="F83" s="26">
        <v>0.90909090909090906</v>
      </c>
      <c r="G83" s="27">
        <v>9.0909090909090912E-2</v>
      </c>
    </row>
    <row r="84" spans="1:7" x14ac:dyDescent="0.25">
      <c r="A84" s="9" t="s">
        <v>40</v>
      </c>
      <c r="B84" s="9" t="s">
        <v>87</v>
      </c>
      <c r="C84" s="9">
        <v>22</v>
      </c>
      <c r="D84" s="9">
        <v>20</v>
      </c>
      <c r="E84" s="9">
        <v>2</v>
      </c>
      <c r="F84" s="26">
        <v>0.90909090909090906</v>
      </c>
      <c r="G84" s="27">
        <v>9.0909090909090912E-2</v>
      </c>
    </row>
    <row r="85" spans="1:7" x14ac:dyDescent="0.25">
      <c r="A85" s="9" t="s">
        <v>40</v>
      </c>
      <c r="B85" s="9" t="s">
        <v>88</v>
      </c>
      <c r="C85" s="9">
        <v>22</v>
      </c>
      <c r="D85" s="9">
        <v>19</v>
      </c>
      <c r="E85" s="9">
        <v>3</v>
      </c>
      <c r="F85" s="26">
        <v>0.86363636363636365</v>
      </c>
      <c r="G85" s="27">
        <v>0.13636363636363635</v>
      </c>
    </row>
    <row r="86" spans="1:7" x14ac:dyDescent="0.25">
      <c r="A86" s="9" t="s">
        <v>41</v>
      </c>
      <c r="B86" s="9" t="s">
        <v>83</v>
      </c>
      <c r="C86" s="9">
        <v>22</v>
      </c>
      <c r="D86" s="9">
        <v>17</v>
      </c>
      <c r="E86" s="9">
        <v>5</v>
      </c>
      <c r="F86" s="26">
        <v>0.77272727272727271</v>
      </c>
      <c r="G86" s="27">
        <v>0.22727272727272727</v>
      </c>
    </row>
    <row r="87" spans="1:7" x14ac:dyDescent="0.25">
      <c r="A87" s="9" t="s">
        <v>41</v>
      </c>
      <c r="B87" s="9" t="s">
        <v>84</v>
      </c>
      <c r="C87" s="9">
        <v>22</v>
      </c>
      <c r="D87" s="9">
        <v>20</v>
      </c>
      <c r="E87" s="9">
        <v>2</v>
      </c>
      <c r="F87" s="26">
        <v>0.90909090909090906</v>
      </c>
      <c r="G87" s="27">
        <v>9.0909090909090912E-2</v>
      </c>
    </row>
    <row r="88" spans="1:7" x14ac:dyDescent="0.25">
      <c r="A88" s="9" t="s">
        <v>41</v>
      </c>
      <c r="B88" s="9" t="s">
        <v>85</v>
      </c>
      <c r="C88" s="9">
        <v>22</v>
      </c>
      <c r="D88" s="9">
        <v>16</v>
      </c>
      <c r="E88" s="9">
        <v>6</v>
      </c>
      <c r="F88" s="26">
        <v>0.72727272727272729</v>
      </c>
      <c r="G88" s="27">
        <v>0.27272727272727271</v>
      </c>
    </row>
    <row r="89" spans="1:7" x14ac:dyDescent="0.25">
      <c r="A89" s="9" t="s">
        <v>41</v>
      </c>
      <c r="B89" s="9" t="s">
        <v>86</v>
      </c>
      <c r="C89" s="9">
        <v>22</v>
      </c>
      <c r="D89" s="9">
        <v>18</v>
      </c>
      <c r="E89" s="9">
        <v>4</v>
      </c>
      <c r="F89" s="26">
        <v>0.81818181818181823</v>
      </c>
      <c r="G89" s="27">
        <v>0.18181818181818182</v>
      </c>
    </row>
    <row r="90" spans="1:7" x14ac:dyDescent="0.25">
      <c r="A90" s="9" t="s">
        <v>41</v>
      </c>
      <c r="B90" s="9" t="s">
        <v>87</v>
      </c>
      <c r="C90" s="9">
        <v>22</v>
      </c>
      <c r="D90" s="9">
        <v>16</v>
      </c>
      <c r="E90" s="9">
        <v>6</v>
      </c>
      <c r="F90" s="26">
        <v>0.72727272727272729</v>
      </c>
      <c r="G90" s="27">
        <v>0.27272727272727271</v>
      </c>
    </row>
    <row r="91" spans="1:7" x14ac:dyDescent="0.25">
      <c r="A91" s="9" t="s">
        <v>41</v>
      </c>
      <c r="B91" s="9" t="s">
        <v>88</v>
      </c>
      <c r="C91" s="9">
        <v>22</v>
      </c>
      <c r="D91" s="9">
        <v>18</v>
      </c>
      <c r="E91" s="9">
        <v>4</v>
      </c>
      <c r="F91" s="26">
        <v>0.81818181818181823</v>
      </c>
      <c r="G91" s="27">
        <v>0.18181818181818182</v>
      </c>
    </row>
    <row r="92" spans="1:7" x14ac:dyDescent="0.25">
      <c r="A92" s="9" t="s">
        <v>42</v>
      </c>
      <c r="B92" s="9" t="s">
        <v>83</v>
      </c>
      <c r="C92" s="9">
        <v>22</v>
      </c>
      <c r="D92" s="9">
        <v>22</v>
      </c>
      <c r="E92" s="9">
        <v>0</v>
      </c>
      <c r="F92" s="26">
        <v>1</v>
      </c>
      <c r="G92" s="27">
        <v>0</v>
      </c>
    </row>
    <row r="93" spans="1:7" x14ac:dyDescent="0.25">
      <c r="A93" s="9" t="s">
        <v>42</v>
      </c>
      <c r="B93" s="9" t="s">
        <v>84</v>
      </c>
      <c r="C93" s="9">
        <v>22</v>
      </c>
      <c r="D93" s="9">
        <v>16</v>
      </c>
      <c r="E93" s="9">
        <v>6</v>
      </c>
      <c r="F93" s="26">
        <v>0.72727272727272729</v>
      </c>
      <c r="G93" s="27">
        <v>0.27272727272727271</v>
      </c>
    </row>
    <row r="94" spans="1:7" x14ac:dyDescent="0.25">
      <c r="A94" s="9" t="s">
        <v>42</v>
      </c>
      <c r="B94" s="9" t="s">
        <v>85</v>
      </c>
      <c r="C94" s="9">
        <v>22</v>
      </c>
      <c r="D94" s="9">
        <v>18</v>
      </c>
      <c r="E94" s="9">
        <v>4</v>
      </c>
      <c r="F94" s="26">
        <v>0.81818181818181823</v>
      </c>
      <c r="G94" s="27">
        <v>0.18181818181818182</v>
      </c>
    </row>
    <row r="95" spans="1:7" x14ac:dyDescent="0.25">
      <c r="A95" s="9" t="s">
        <v>42</v>
      </c>
      <c r="B95" s="9" t="s">
        <v>86</v>
      </c>
      <c r="C95" s="9">
        <v>22</v>
      </c>
      <c r="D95" s="9">
        <v>20</v>
      </c>
      <c r="E95" s="9">
        <v>2</v>
      </c>
      <c r="F95" s="26">
        <v>0.90909090909090906</v>
      </c>
      <c r="G95" s="27">
        <v>9.0909090909090912E-2</v>
      </c>
    </row>
    <row r="96" spans="1:7" x14ac:dyDescent="0.25">
      <c r="A96" s="9" t="s">
        <v>42</v>
      </c>
      <c r="B96" s="9" t="s">
        <v>87</v>
      </c>
      <c r="C96" s="9">
        <v>22</v>
      </c>
      <c r="D96" s="9">
        <v>16</v>
      </c>
      <c r="E96" s="9">
        <v>6</v>
      </c>
      <c r="F96" s="26">
        <v>0.72727272727272729</v>
      </c>
      <c r="G96" s="27">
        <v>0.27272727272727271</v>
      </c>
    </row>
    <row r="97" spans="1:7" x14ac:dyDescent="0.25">
      <c r="A97" s="9" t="s">
        <v>42</v>
      </c>
      <c r="B97" s="9" t="s">
        <v>88</v>
      </c>
      <c r="C97" s="9">
        <v>22</v>
      </c>
      <c r="D97" s="9">
        <v>16</v>
      </c>
      <c r="E97" s="9">
        <v>6</v>
      </c>
      <c r="F97" s="26">
        <v>0.72727272727272729</v>
      </c>
      <c r="G97" s="27">
        <v>0.27272727272727271</v>
      </c>
    </row>
    <row r="98" spans="1:7" x14ac:dyDescent="0.25">
      <c r="A98" s="9" t="s">
        <v>43</v>
      </c>
      <c r="B98" s="9" t="s">
        <v>83</v>
      </c>
      <c r="C98" s="9">
        <v>22</v>
      </c>
      <c r="D98" s="9">
        <v>19</v>
      </c>
      <c r="E98" s="9">
        <v>3</v>
      </c>
      <c r="F98" s="26">
        <v>0.86363636363636365</v>
      </c>
      <c r="G98" s="27">
        <v>0.13636363636363635</v>
      </c>
    </row>
    <row r="99" spans="1:7" x14ac:dyDescent="0.25">
      <c r="A99" s="9" t="s">
        <v>43</v>
      </c>
      <c r="B99" s="9" t="s">
        <v>84</v>
      </c>
      <c r="C99" s="9">
        <v>22</v>
      </c>
      <c r="D99" s="9">
        <v>16</v>
      </c>
      <c r="E99" s="9">
        <v>6</v>
      </c>
      <c r="F99" s="26">
        <v>0.72727272727272729</v>
      </c>
      <c r="G99" s="27">
        <v>0.27272727272727271</v>
      </c>
    </row>
    <row r="100" spans="1:7" x14ac:dyDescent="0.25">
      <c r="A100" s="9" t="s">
        <v>43</v>
      </c>
      <c r="B100" s="9" t="s">
        <v>85</v>
      </c>
      <c r="C100" s="9">
        <v>22</v>
      </c>
      <c r="D100" s="9">
        <v>20</v>
      </c>
      <c r="E100" s="9">
        <v>2</v>
      </c>
      <c r="F100" s="26">
        <v>0.90909090909090906</v>
      </c>
      <c r="G100" s="27">
        <v>9.0909090909090912E-2</v>
      </c>
    </row>
    <row r="101" spans="1:7" x14ac:dyDescent="0.25">
      <c r="A101" s="9" t="s">
        <v>43</v>
      </c>
      <c r="B101" s="9" t="s">
        <v>86</v>
      </c>
      <c r="C101" s="9">
        <v>22</v>
      </c>
      <c r="D101" s="9">
        <v>18</v>
      </c>
      <c r="E101" s="9">
        <v>4</v>
      </c>
      <c r="F101" s="26">
        <v>0.81818181818181823</v>
      </c>
      <c r="G101" s="27">
        <v>0.18181818181818182</v>
      </c>
    </row>
    <row r="102" spans="1:7" x14ac:dyDescent="0.25">
      <c r="A102" s="9" t="s">
        <v>43</v>
      </c>
      <c r="B102" s="9" t="s">
        <v>87</v>
      </c>
      <c r="C102" s="9">
        <v>22</v>
      </c>
      <c r="D102" s="9">
        <v>20</v>
      </c>
      <c r="E102" s="9">
        <v>2</v>
      </c>
      <c r="F102" s="26">
        <v>0.90909090909090906</v>
      </c>
      <c r="G102" s="27">
        <v>9.0909090909090912E-2</v>
      </c>
    </row>
    <row r="103" spans="1:7" x14ac:dyDescent="0.25">
      <c r="A103" s="9" t="s">
        <v>43</v>
      </c>
      <c r="B103" s="9" t="s">
        <v>88</v>
      </c>
      <c r="C103" s="9">
        <v>22</v>
      </c>
      <c r="D103" s="9">
        <v>16</v>
      </c>
      <c r="E103" s="9">
        <v>6</v>
      </c>
      <c r="F103" s="26">
        <v>0.72727272727272729</v>
      </c>
      <c r="G103" s="27">
        <v>0.27272727272727271</v>
      </c>
    </row>
    <row r="104" spans="1:7" x14ac:dyDescent="0.25">
      <c r="A104" s="9" t="s">
        <v>45</v>
      </c>
      <c r="B104" s="9" t="s">
        <v>83</v>
      </c>
      <c r="C104" s="9">
        <v>22</v>
      </c>
      <c r="D104" s="9">
        <v>17</v>
      </c>
      <c r="E104" s="9">
        <v>5</v>
      </c>
      <c r="F104" s="26">
        <v>0.77272727272727271</v>
      </c>
      <c r="G104" s="27">
        <v>0.22727272727272727</v>
      </c>
    </row>
    <row r="105" spans="1:7" x14ac:dyDescent="0.25">
      <c r="A105" s="9" t="s">
        <v>45</v>
      </c>
      <c r="B105" s="9" t="s">
        <v>84</v>
      </c>
      <c r="C105" s="9">
        <v>22</v>
      </c>
      <c r="D105" s="9">
        <v>17</v>
      </c>
      <c r="E105" s="9">
        <v>5</v>
      </c>
      <c r="F105" s="26">
        <v>0.77272727272727271</v>
      </c>
      <c r="G105" s="27">
        <v>0.22727272727272727</v>
      </c>
    </row>
    <row r="106" spans="1:7" x14ac:dyDescent="0.25">
      <c r="A106" s="9" t="s">
        <v>45</v>
      </c>
      <c r="B106" s="9" t="s">
        <v>85</v>
      </c>
      <c r="C106" s="9">
        <v>22</v>
      </c>
      <c r="D106" s="9">
        <v>21</v>
      </c>
      <c r="E106" s="9">
        <v>1</v>
      </c>
      <c r="F106" s="26">
        <v>0.95454545454545459</v>
      </c>
      <c r="G106" s="27">
        <v>4.5454545454545456E-2</v>
      </c>
    </row>
    <row r="107" spans="1:7" x14ac:dyDescent="0.25">
      <c r="A107" s="9" t="s">
        <v>45</v>
      </c>
      <c r="B107" s="9" t="s">
        <v>86</v>
      </c>
      <c r="C107" s="9">
        <v>22</v>
      </c>
      <c r="D107" s="9">
        <v>18</v>
      </c>
      <c r="E107" s="9">
        <v>4</v>
      </c>
      <c r="F107" s="26">
        <v>0.81818181818181823</v>
      </c>
      <c r="G107" s="27">
        <v>0.18181818181818182</v>
      </c>
    </row>
    <row r="108" spans="1:7" x14ac:dyDescent="0.25">
      <c r="A108" s="9" t="s">
        <v>45</v>
      </c>
      <c r="B108" s="9" t="s">
        <v>87</v>
      </c>
      <c r="C108" s="9">
        <v>22</v>
      </c>
      <c r="D108" s="9">
        <v>18</v>
      </c>
      <c r="E108" s="9">
        <v>4</v>
      </c>
      <c r="F108" s="26">
        <v>0.81818181818181823</v>
      </c>
      <c r="G108" s="27">
        <v>0.18181818181818182</v>
      </c>
    </row>
    <row r="109" spans="1:7" x14ac:dyDescent="0.25">
      <c r="A109" s="9" t="s">
        <v>45</v>
      </c>
      <c r="B109" s="9" t="s">
        <v>88</v>
      </c>
      <c r="C109" s="9">
        <v>22</v>
      </c>
      <c r="D109" s="9">
        <v>20</v>
      </c>
      <c r="E109" s="9">
        <v>2</v>
      </c>
      <c r="F109" s="26">
        <v>0.90909090909090906</v>
      </c>
      <c r="G109" s="27">
        <v>9.0909090909090912E-2</v>
      </c>
    </row>
    <row r="110" spans="1:7" x14ac:dyDescent="0.25">
      <c r="A110" s="9" t="s">
        <v>47</v>
      </c>
      <c r="B110" s="9" t="s">
        <v>83</v>
      </c>
      <c r="C110" s="9">
        <v>22</v>
      </c>
      <c r="D110" s="9">
        <v>19</v>
      </c>
      <c r="E110" s="9">
        <v>3</v>
      </c>
      <c r="F110" s="26">
        <v>0.86363636363636365</v>
      </c>
      <c r="G110" s="27">
        <v>0.13636363636363635</v>
      </c>
    </row>
    <row r="111" spans="1:7" x14ac:dyDescent="0.25">
      <c r="A111" s="9" t="s">
        <v>47</v>
      </c>
      <c r="B111" s="9" t="s">
        <v>84</v>
      </c>
      <c r="C111" s="9">
        <v>22</v>
      </c>
      <c r="D111" s="9">
        <v>21</v>
      </c>
      <c r="E111" s="9">
        <v>1</v>
      </c>
      <c r="F111" s="26">
        <v>0.95454545454545459</v>
      </c>
      <c r="G111" s="27">
        <v>4.5454545454545456E-2</v>
      </c>
    </row>
    <row r="112" spans="1:7" x14ac:dyDescent="0.25">
      <c r="A112" s="9" t="s">
        <v>47</v>
      </c>
      <c r="B112" s="9" t="s">
        <v>85</v>
      </c>
      <c r="C112" s="9">
        <v>22</v>
      </c>
      <c r="D112" s="9">
        <v>18</v>
      </c>
      <c r="E112" s="9">
        <v>4</v>
      </c>
      <c r="F112" s="26">
        <v>0.81818181818181823</v>
      </c>
      <c r="G112" s="27">
        <v>0.18181818181818182</v>
      </c>
    </row>
    <row r="113" spans="1:7" x14ac:dyDescent="0.25">
      <c r="A113" s="9" t="s">
        <v>47</v>
      </c>
      <c r="B113" s="9" t="s">
        <v>86</v>
      </c>
      <c r="C113" s="9">
        <v>22</v>
      </c>
      <c r="D113" s="9">
        <v>16</v>
      </c>
      <c r="E113" s="9">
        <v>6</v>
      </c>
      <c r="F113" s="26">
        <v>0.72727272727272729</v>
      </c>
      <c r="G113" s="27">
        <v>0.27272727272727271</v>
      </c>
    </row>
    <row r="114" spans="1:7" x14ac:dyDescent="0.25">
      <c r="A114" s="9" t="s">
        <v>47</v>
      </c>
      <c r="B114" s="9" t="s">
        <v>87</v>
      </c>
      <c r="C114" s="9">
        <v>22</v>
      </c>
      <c r="D114" s="9">
        <v>20</v>
      </c>
      <c r="E114" s="9">
        <v>2</v>
      </c>
      <c r="F114" s="26">
        <v>0.90909090909090906</v>
      </c>
      <c r="G114" s="27">
        <v>9.0909090909090912E-2</v>
      </c>
    </row>
    <row r="115" spans="1:7" x14ac:dyDescent="0.25">
      <c r="A115" s="9" t="s">
        <v>47</v>
      </c>
      <c r="B115" s="9" t="s">
        <v>88</v>
      </c>
      <c r="C115" s="9">
        <v>22</v>
      </c>
      <c r="D115" s="9">
        <v>16</v>
      </c>
      <c r="E115" s="9">
        <v>6</v>
      </c>
      <c r="F115" s="26">
        <v>0.72727272727272729</v>
      </c>
      <c r="G115" s="27">
        <v>0.27272727272727271</v>
      </c>
    </row>
    <row r="116" spans="1:7" x14ac:dyDescent="0.25">
      <c r="A116" s="9" t="s">
        <v>48</v>
      </c>
      <c r="B116" s="9" t="s">
        <v>83</v>
      </c>
      <c r="C116" s="9">
        <v>22</v>
      </c>
      <c r="D116" s="9">
        <v>18</v>
      </c>
      <c r="E116" s="9">
        <v>4</v>
      </c>
      <c r="F116" s="26">
        <v>0.81818181818181823</v>
      </c>
      <c r="G116" s="27">
        <v>0.18181818181818182</v>
      </c>
    </row>
    <row r="117" spans="1:7" x14ac:dyDescent="0.25">
      <c r="A117" s="9" t="s">
        <v>48</v>
      </c>
      <c r="B117" s="9" t="s">
        <v>84</v>
      </c>
      <c r="C117" s="9">
        <v>22</v>
      </c>
      <c r="D117" s="9">
        <v>16</v>
      </c>
      <c r="E117" s="9">
        <v>6</v>
      </c>
      <c r="F117" s="26">
        <v>0.72727272727272729</v>
      </c>
      <c r="G117" s="27">
        <v>0.27272727272727271</v>
      </c>
    </row>
    <row r="118" spans="1:7" x14ac:dyDescent="0.25">
      <c r="A118" s="9" t="s">
        <v>48</v>
      </c>
      <c r="B118" s="9" t="s">
        <v>85</v>
      </c>
      <c r="C118" s="9">
        <v>22</v>
      </c>
      <c r="D118" s="9">
        <v>17</v>
      </c>
      <c r="E118" s="9">
        <v>5</v>
      </c>
      <c r="F118" s="26">
        <v>0.77272727272727271</v>
      </c>
      <c r="G118" s="27">
        <v>0.22727272727272727</v>
      </c>
    </row>
    <row r="119" spans="1:7" x14ac:dyDescent="0.25">
      <c r="A119" s="9" t="s">
        <v>48</v>
      </c>
      <c r="B119" s="9" t="s">
        <v>86</v>
      </c>
      <c r="C119" s="9">
        <v>22</v>
      </c>
      <c r="D119" s="9">
        <v>18</v>
      </c>
      <c r="E119" s="9">
        <v>4</v>
      </c>
      <c r="F119" s="26">
        <v>0.81818181818181823</v>
      </c>
      <c r="G119" s="27">
        <v>0.18181818181818182</v>
      </c>
    </row>
    <row r="120" spans="1:7" x14ac:dyDescent="0.25">
      <c r="A120" s="9" t="s">
        <v>48</v>
      </c>
      <c r="B120" s="9" t="s">
        <v>87</v>
      </c>
      <c r="C120" s="9">
        <v>22</v>
      </c>
      <c r="D120" s="9">
        <v>17</v>
      </c>
      <c r="E120" s="9">
        <v>5</v>
      </c>
      <c r="F120" s="26">
        <v>0.77272727272727271</v>
      </c>
      <c r="G120" s="27">
        <v>0.22727272727272727</v>
      </c>
    </row>
    <row r="121" spans="1:7" x14ac:dyDescent="0.25">
      <c r="A121" s="9" t="s">
        <v>48</v>
      </c>
      <c r="B121" s="9" t="s">
        <v>88</v>
      </c>
      <c r="C121" s="9">
        <v>22</v>
      </c>
      <c r="D121" s="9">
        <v>18</v>
      </c>
      <c r="E121" s="9">
        <v>4</v>
      </c>
      <c r="F121" s="26">
        <v>0.81818181818181823</v>
      </c>
      <c r="G121" s="27">
        <v>0.18181818181818182</v>
      </c>
    </row>
    <row r="122" spans="1:7" x14ac:dyDescent="0.25">
      <c r="A122" s="9" t="s">
        <v>49</v>
      </c>
      <c r="B122" s="9" t="s">
        <v>83</v>
      </c>
      <c r="C122" s="9">
        <v>22</v>
      </c>
      <c r="D122" s="9">
        <v>17</v>
      </c>
      <c r="E122" s="9">
        <v>5</v>
      </c>
      <c r="F122" s="26">
        <v>0.77272727272727271</v>
      </c>
      <c r="G122" s="27">
        <v>0.22727272727272727</v>
      </c>
    </row>
    <row r="123" spans="1:7" x14ac:dyDescent="0.25">
      <c r="A123" s="9" t="s">
        <v>49</v>
      </c>
      <c r="B123" s="9" t="s">
        <v>84</v>
      </c>
      <c r="C123" s="9">
        <v>22</v>
      </c>
      <c r="D123" s="9">
        <v>19</v>
      </c>
      <c r="E123" s="9">
        <v>3</v>
      </c>
      <c r="F123" s="26">
        <v>0.86363636363636365</v>
      </c>
      <c r="G123" s="27">
        <v>0.13636363636363635</v>
      </c>
    </row>
    <row r="124" spans="1:7" x14ac:dyDescent="0.25">
      <c r="A124" s="9" t="s">
        <v>49</v>
      </c>
      <c r="B124" s="9" t="s">
        <v>85</v>
      </c>
      <c r="C124" s="9">
        <v>22</v>
      </c>
      <c r="D124" s="9">
        <v>19</v>
      </c>
      <c r="E124" s="9">
        <v>3</v>
      </c>
      <c r="F124" s="26">
        <v>0.86363636363636365</v>
      </c>
      <c r="G124" s="27">
        <v>0.13636363636363635</v>
      </c>
    </row>
    <row r="125" spans="1:7" x14ac:dyDescent="0.25">
      <c r="A125" s="9" t="s">
        <v>49</v>
      </c>
      <c r="B125" s="9" t="s">
        <v>86</v>
      </c>
      <c r="C125" s="9">
        <v>22</v>
      </c>
      <c r="D125" s="9">
        <v>20</v>
      </c>
      <c r="E125" s="9">
        <v>2</v>
      </c>
      <c r="F125" s="26">
        <v>0.90909090909090906</v>
      </c>
      <c r="G125" s="27">
        <v>9.0909090909090912E-2</v>
      </c>
    </row>
    <row r="126" spans="1:7" x14ac:dyDescent="0.25">
      <c r="A126" s="9" t="s">
        <v>49</v>
      </c>
      <c r="B126" s="9" t="s">
        <v>87</v>
      </c>
      <c r="C126" s="9">
        <v>22</v>
      </c>
      <c r="D126" s="9">
        <v>19</v>
      </c>
      <c r="E126" s="9">
        <v>3</v>
      </c>
      <c r="F126" s="26">
        <v>0.86363636363636365</v>
      </c>
      <c r="G126" s="27">
        <v>0.13636363636363635</v>
      </c>
    </row>
    <row r="127" spans="1:7" x14ac:dyDescent="0.25">
      <c r="A127" s="9" t="s">
        <v>49</v>
      </c>
      <c r="B127" s="9" t="s">
        <v>88</v>
      </c>
      <c r="C127" s="9">
        <v>22</v>
      </c>
      <c r="D127" s="9">
        <v>16</v>
      </c>
      <c r="E127" s="9">
        <v>6</v>
      </c>
      <c r="F127" s="26">
        <v>0.72727272727272729</v>
      </c>
      <c r="G127" s="27">
        <v>0.27272727272727271</v>
      </c>
    </row>
    <row r="128" spans="1:7" x14ac:dyDescent="0.25">
      <c r="A128" s="9" t="s">
        <v>50</v>
      </c>
      <c r="B128" s="9" t="s">
        <v>83</v>
      </c>
      <c r="C128" s="9">
        <v>22</v>
      </c>
      <c r="D128" s="9">
        <v>17</v>
      </c>
      <c r="E128" s="9">
        <v>5</v>
      </c>
      <c r="F128" s="26">
        <v>0.77272727272727271</v>
      </c>
      <c r="G128" s="27">
        <v>0.22727272727272727</v>
      </c>
    </row>
    <row r="129" spans="1:7" x14ac:dyDescent="0.25">
      <c r="A129" s="9" t="s">
        <v>50</v>
      </c>
      <c r="B129" s="9" t="s">
        <v>84</v>
      </c>
      <c r="C129" s="9">
        <v>22</v>
      </c>
      <c r="D129" s="9">
        <v>21</v>
      </c>
      <c r="E129" s="9">
        <v>1</v>
      </c>
      <c r="F129" s="26">
        <v>0.95454545454545459</v>
      </c>
      <c r="G129" s="27">
        <v>4.5454545454545456E-2</v>
      </c>
    </row>
    <row r="130" spans="1:7" x14ac:dyDescent="0.25">
      <c r="A130" s="9" t="s">
        <v>50</v>
      </c>
      <c r="B130" s="9" t="s">
        <v>85</v>
      </c>
      <c r="C130" s="9">
        <v>22</v>
      </c>
      <c r="D130" s="9">
        <v>19</v>
      </c>
      <c r="E130" s="9">
        <v>3</v>
      </c>
      <c r="F130" s="26">
        <v>0.86363636363636365</v>
      </c>
      <c r="G130" s="27">
        <v>0.13636363636363635</v>
      </c>
    </row>
    <row r="131" spans="1:7" x14ac:dyDescent="0.25">
      <c r="A131" s="9" t="s">
        <v>50</v>
      </c>
      <c r="B131" s="9" t="s">
        <v>86</v>
      </c>
      <c r="C131" s="9">
        <v>22</v>
      </c>
      <c r="D131" s="9">
        <v>17</v>
      </c>
      <c r="E131" s="9">
        <v>5</v>
      </c>
      <c r="F131" s="26">
        <v>0.77272727272727271</v>
      </c>
      <c r="G131" s="27">
        <v>0.22727272727272727</v>
      </c>
    </row>
    <row r="132" spans="1:7" x14ac:dyDescent="0.25">
      <c r="A132" s="9" t="s">
        <v>50</v>
      </c>
      <c r="B132" s="9" t="s">
        <v>87</v>
      </c>
      <c r="C132" s="9">
        <v>22</v>
      </c>
      <c r="D132" s="9">
        <v>17</v>
      </c>
      <c r="E132" s="9">
        <v>5</v>
      </c>
      <c r="F132" s="26">
        <v>0.77272727272727271</v>
      </c>
      <c r="G132" s="27">
        <v>0.22727272727272727</v>
      </c>
    </row>
    <row r="133" spans="1:7" x14ac:dyDescent="0.25">
      <c r="A133" s="9" t="s">
        <v>50</v>
      </c>
      <c r="B133" s="9" t="s">
        <v>88</v>
      </c>
      <c r="C133" s="9">
        <v>22</v>
      </c>
      <c r="D133" s="9">
        <v>22</v>
      </c>
      <c r="E133" s="9">
        <v>0</v>
      </c>
      <c r="F133" s="26">
        <v>1</v>
      </c>
      <c r="G133" s="27">
        <v>0</v>
      </c>
    </row>
    <row r="134" spans="1:7" x14ac:dyDescent="0.25">
      <c r="A134" s="9" t="s">
        <v>51</v>
      </c>
      <c r="B134" s="9" t="s">
        <v>83</v>
      </c>
      <c r="C134" s="9">
        <v>22</v>
      </c>
      <c r="D134" s="9">
        <v>22</v>
      </c>
      <c r="E134" s="9">
        <v>0</v>
      </c>
      <c r="F134" s="26">
        <v>1</v>
      </c>
      <c r="G134" s="27">
        <v>0</v>
      </c>
    </row>
    <row r="135" spans="1:7" x14ac:dyDescent="0.25">
      <c r="A135" s="9" t="s">
        <v>51</v>
      </c>
      <c r="B135" s="9" t="s">
        <v>84</v>
      </c>
      <c r="C135" s="9">
        <v>22</v>
      </c>
      <c r="D135" s="9">
        <v>16</v>
      </c>
      <c r="E135" s="9">
        <v>6</v>
      </c>
      <c r="F135" s="26">
        <v>0.72727272727272729</v>
      </c>
      <c r="G135" s="27">
        <v>0.27272727272727271</v>
      </c>
    </row>
    <row r="136" spans="1:7" x14ac:dyDescent="0.25">
      <c r="A136" s="9" t="s">
        <v>51</v>
      </c>
      <c r="B136" s="9" t="s">
        <v>85</v>
      </c>
      <c r="C136" s="9">
        <v>22</v>
      </c>
      <c r="D136" s="9">
        <v>19</v>
      </c>
      <c r="E136" s="9">
        <v>3</v>
      </c>
      <c r="F136" s="26">
        <v>0.86363636363636365</v>
      </c>
      <c r="G136" s="27">
        <v>0.13636363636363635</v>
      </c>
    </row>
    <row r="137" spans="1:7" x14ac:dyDescent="0.25">
      <c r="A137" s="9" t="s">
        <v>51</v>
      </c>
      <c r="B137" s="9" t="s">
        <v>86</v>
      </c>
      <c r="C137" s="9">
        <v>22</v>
      </c>
      <c r="D137" s="9">
        <v>22</v>
      </c>
      <c r="E137" s="9">
        <v>0</v>
      </c>
      <c r="F137" s="26">
        <v>1</v>
      </c>
      <c r="G137" s="27">
        <v>0</v>
      </c>
    </row>
    <row r="138" spans="1:7" x14ac:dyDescent="0.25">
      <c r="A138" s="9" t="s">
        <v>51</v>
      </c>
      <c r="B138" s="9" t="s">
        <v>87</v>
      </c>
      <c r="C138" s="9">
        <v>22</v>
      </c>
      <c r="D138" s="9">
        <v>21</v>
      </c>
      <c r="E138" s="9">
        <v>1</v>
      </c>
      <c r="F138" s="26">
        <v>0.95454545454545459</v>
      </c>
      <c r="G138" s="27">
        <v>4.5454545454545456E-2</v>
      </c>
    </row>
    <row r="139" spans="1:7" x14ac:dyDescent="0.25">
      <c r="A139" s="9" t="s">
        <v>51</v>
      </c>
      <c r="B139" s="9" t="s">
        <v>88</v>
      </c>
      <c r="C139" s="9">
        <v>22</v>
      </c>
      <c r="D139" s="9">
        <v>19</v>
      </c>
      <c r="E139" s="9">
        <v>3</v>
      </c>
      <c r="F139" s="26">
        <v>0.86363636363636365</v>
      </c>
      <c r="G139" s="27">
        <v>0.13636363636363635</v>
      </c>
    </row>
    <row r="140" spans="1:7" x14ac:dyDescent="0.25">
      <c r="A140" s="9" t="s">
        <v>52</v>
      </c>
      <c r="B140" s="9" t="s">
        <v>83</v>
      </c>
      <c r="C140" s="9">
        <v>22</v>
      </c>
      <c r="D140" s="9">
        <v>17</v>
      </c>
      <c r="E140" s="9">
        <v>5</v>
      </c>
      <c r="F140" s="26">
        <v>0.77272727272727271</v>
      </c>
      <c r="G140" s="27">
        <v>0.22727272727272727</v>
      </c>
    </row>
    <row r="141" spans="1:7" x14ac:dyDescent="0.25">
      <c r="A141" s="9" t="s">
        <v>52</v>
      </c>
      <c r="B141" s="9" t="s">
        <v>84</v>
      </c>
      <c r="C141" s="9">
        <v>22</v>
      </c>
      <c r="D141" s="9">
        <v>17</v>
      </c>
      <c r="E141" s="9">
        <v>5</v>
      </c>
      <c r="F141" s="26">
        <v>0.77272727272727271</v>
      </c>
      <c r="G141" s="27">
        <v>0.22727272727272727</v>
      </c>
    </row>
    <row r="142" spans="1:7" x14ac:dyDescent="0.25">
      <c r="A142" s="9" t="s">
        <v>52</v>
      </c>
      <c r="B142" s="9" t="s">
        <v>85</v>
      </c>
      <c r="C142" s="9">
        <v>22</v>
      </c>
      <c r="D142" s="9">
        <v>22</v>
      </c>
      <c r="E142" s="9">
        <v>0</v>
      </c>
      <c r="F142" s="26">
        <v>1</v>
      </c>
      <c r="G142" s="27">
        <v>0</v>
      </c>
    </row>
    <row r="143" spans="1:7" x14ac:dyDescent="0.25">
      <c r="A143" s="9" t="s">
        <v>52</v>
      </c>
      <c r="B143" s="9" t="s">
        <v>86</v>
      </c>
      <c r="C143" s="9">
        <v>22</v>
      </c>
      <c r="D143" s="9">
        <v>21</v>
      </c>
      <c r="E143" s="9">
        <v>1</v>
      </c>
      <c r="F143" s="26">
        <v>0.95454545454545459</v>
      </c>
      <c r="G143" s="27">
        <v>4.5454545454545456E-2</v>
      </c>
    </row>
    <row r="144" spans="1:7" x14ac:dyDescent="0.25">
      <c r="A144" s="9" t="s">
        <v>52</v>
      </c>
      <c r="B144" s="9" t="s">
        <v>87</v>
      </c>
      <c r="C144" s="9">
        <v>22</v>
      </c>
      <c r="D144" s="9">
        <v>18</v>
      </c>
      <c r="E144" s="9">
        <v>4</v>
      </c>
      <c r="F144" s="26">
        <v>0.81818181818181823</v>
      </c>
      <c r="G144" s="27">
        <v>0.18181818181818182</v>
      </c>
    </row>
    <row r="145" spans="1:7" x14ac:dyDescent="0.25">
      <c r="A145" s="9" t="s">
        <v>52</v>
      </c>
      <c r="B145" s="9" t="s">
        <v>88</v>
      </c>
      <c r="C145" s="9">
        <v>22</v>
      </c>
      <c r="D145" s="9">
        <v>19</v>
      </c>
      <c r="E145" s="9">
        <v>3</v>
      </c>
      <c r="F145" s="26">
        <v>0.86363636363636365</v>
      </c>
      <c r="G145" s="27">
        <v>0.13636363636363635</v>
      </c>
    </row>
    <row r="146" spans="1:7" x14ac:dyDescent="0.25">
      <c r="A146" s="9" t="s">
        <v>53</v>
      </c>
      <c r="B146" s="9" t="s">
        <v>83</v>
      </c>
      <c r="C146" s="9">
        <v>22</v>
      </c>
      <c r="D146" s="9">
        <v>22</v>
      </c>
      <c r="E146" s="9">
        <v>0</v>
      </c>
      <c r="F146" s="26">
        <v>1</v>
      </c>
      <c r="G146" s="27">
        <v>0</v>
      </c>
    </row>
    <row r="147" spans="1:7" x14ac:dyDescent="0.25">
      <c r="A147" s="9" t="s">
        <v>53</v>
      </c>
      <c r="B147" s="9" t="s">
        <v>84</v>
      </c>
      <c r="C147" s="9">
        <v>22</v>
      </c>
      <c r="D147" s="9">
        <v>17</v>
      </c>
      <c r="E147" s="9">
        <v>5</v>
      </c>
      <c r="F147" s="26">
        <v>0.77272727272727271</v>
      </c>
      <c r="G147" s="27">
        <v>0.22727272727272727</v>
      </c>
    </row>
    <row r="148" spans="1:7" x14ac:dyDescent="0.25">
      <c r="A148" s="9" t="s">
        <v>53</v>
      </c>
      <c r="B148" s="9" t="s">
        <v>85</v>
      </c>
      <c r="C148" s="9">
        <v>22</v>
      </c>
      <c r="D148" s="9">
        <v>17</v>
      </c>
      <c r="E148" s="9">
        <v>5</v>
      </c>
      <c r="F148" s="26">
        <v>0.77272727272727271</v>
      </c>
      <c r="G148" s="27">
        <v>0.22727272727272727</v>
      </c>
    </row>
    <row r="149" spans="1:7" x14ac:dyDescent="0.25">
      <c r="A149" s="9" t="s">
        <v>53</v>
      </c>
      <c r="B149" s="9" t="s">
        <v>86</v>
      </c>
      <c r="C149" s="9">
        <v>22</v>
      </c>
      <c r="D149" s="9">
        <v>19</v>
      </c>
      <c r="E149" s="9">
        <v>3</v>
      </c>
      <c r="F149" s="26">
        <v>0.86363636363636365</v>
      </c>
      <c r="G149" s="27">
        <v>0.13636363636363635</v>
      </c>
    </row>
    <row r="150" spans="1:7" x14ac:dyDescent="0.25">
      <c r="A150" s="9" t="s">
        <v>53</v>
      </c>
      <c r="B150" s="9" t="s">
        <v>87</v>
      </c>
      <c r="C150" s="9">
        <v>22</v>
      </c>
      <c r="D150" s="9">
        <v>19</v>
      </c>
      <c r="E150" s="9">
        <v>3</v>
      </c>
      <c r="F150" s="26">
        <v>0.86363636363636365</v>
      </c>
      <c r="G150" s="27">
        <v>0.13636363636363635</v>
      </c>
    </row>
    <row r="151" spans="1:7" x14ac:dyDescent="0.25">
      <c r="A151" s="9" t="s">
        <v>53</v>
      </c>
      <c r="B151" s="9" t="s">
        <v>88</v>
      </c>
      <c r="C151" s="9">
        <v>22</v>
      </c>
      <c r="D151" s="9">
        <v>19</v>
      </c>
      <c r="E151" s="9">
        <v>3</v>
      </c>
      <c r="F151" s="26">
        <v>0.86363636363636365</v>
      </c>
      <c r="G151" s="27">
        <v>0.13636363636363635</v>
      </c>
    </row>
    <row r="152" spans="1:7" x14ac:dyDescent="0.25">
      <c r="A152" s="9" t="s">
        <v>54</v>
      </c>
      <c r="B152" s="9" t="s">
        <v>83</v>
      </c>
      <c r="C152" s="9">
        <v>22</v>
      </c>
      <c r="D152" s="9">
        <v>16</v>
      </c>
      <c r="E152" s="9">
        <v>6</v>
      </c>
      <c r="F152" s="26">
        <v>0.72727272727272729</v>
      </c>
      <c r="G152" s="27">
        <v>0.27272727272727271</v>
      </c>
    </row>
    <row r="153" spans="1:7" x14ac:dyDescent="0.25">
      <c r="A153" s="9" t="s">
        <v>54</v>
      </c>
      <c r="B153" s="9" t="s">
        <v>84</v>
      </c>
      <c r="C153" s="9">
        <v>22</v>
      </c>
      <c r="D153" s="9">
        <v>22</v>
      </c>
      <c r="E153" s="9">
        <v>0</v>
      </c>
      <c r="F153" s="26">
        <v>1</v>
      </c>
      <c r="G153" s="27">
        <v>0</v>
      </c>
    </row>
    <row r="154" spans="1:7" x14ac:dyDescent="0.25">
      <c r="A154" s="9" t="s">
        <v>54</v>
      </c>
      <c r="B154" s="9" t="s">
        <v>85</v>
      </c>
      <c r="C154" s="9">
        <v>22</v>
      </c>
      <c r="D154" s="9">
        <v>17</v>
      </c>
      <c r="E154" s="9">
        <v>5</v>
      </c>
      <c r="F154" s="26">
        <v>0.77272727272727271</v>
      </c>
      <c r="G154" s="27">
        <v>0.22727272727272727</v>
      </c>
    </row>
    <row r="155" spans="1:7" x14ac:dyDescent="0.25">
      <c r="A155" s="9" t="s">
        <v>54</v>
      </c>
      <c r="B155" s="9" t="s">
        <v>86</v>
      </c>
      <c r="C155" s="9">
        <v>22</v>
      </c>
      <c r="D155" s="9">
        <v>21</v>
      </c>
      <c r="E155" s="9">
        <v>1</v>
      </c>
      <c r="F155" s="26">
        <v>0.95454545454545459</v>
      </c>
      <c r="G155" s="27">
        <v>4.5454545454545456E-2</v>
      </c>
    </row>
    <row r="156" spans="1:7" x14ac:dyDescent="0.25">
      <c r="A156" s="9" t="s">
        <v>54</v>
      </c>
      <c r="B156" s="9" t="s">
        <v>87</v>
      </c>
      <c r="C156" s="9">
        <v>22</v>
      </c>
      <c r="D156" s="9">
        <v>17</v>
      </c>
      <c r="E156" s="9">
        <v>5</v>
      </c>
      <c r="F156" s="26">
        <v>0.77272727272727271</v>
      </c>
      <c r="G156" s="27">
        <v>0.22727272727272727</v>
      </c>
    </row>
    <row r="157" spans="1:7" x14ac:dyDescent="0.25">
      <c r="A157" s="9" t="s">
        <v>54</v>
      </c>
      <c r="B157" s="9" t="s">
        <v>88</v>
      </c>
      <c r="C157" s="9">
        <v>22</v>
      </c>
      <c r="D157" s="9">
        <v>17</v>
      </c>
      <c r="E157" s="9">
        <v>5</v>
      </c>
      <c r="F157" s="26">
        <v>0.77272727272727271</v>
      </c>
      <c r="G157" s="27">
        <v>0.22727272727272727</v>
      </c>
    </row>
    <row r="158" spans="1:7" x14ac:dyDescent="0.25">
      <c r="A158" s="9" t="s">
        <v>55</v>
      </c>
      <c r="B158" s="9" t="s">
        <v>83</v>
      </c>
      <c r="C158" s="9">
        <v>22</v>
      </c>
      <c r="D158" s="9">
        <v>22</v>
      </c>
      <c r="E158" s="9">
        <v>0</v>
      </c>
      <c r="F158" s="26">
        <v>1</v>
      </c>
      <c r="G158" s="27">
        <v>0</v>
      </c>
    </row>
    <row r="159" spans="1:7" x14ac:dyDescent="0.25">
      <c r="A159" s="9" t="s">
        <v>55</v>
      </c>
      <c r="B159" s="9" t="s">
        <v>84</v>
      </c>
      <c r="C159" s="9">
        <v>22</v>
      </c>
      <c r="D159" s="9">
        <v>16</v>
      </c>
      <c r="E159" s="9">
        <v>6</v>
      </c>
      <c r="F159" s="26">
        <v>0.72727272727272729</v>
      </c>
      <c r="G159" s="27">
        <v>0.27272727272727271</v>
      </c>
    </row>
    <row r="160" spans="1:7" x14ac:dyDescent="0.25">
      <c r="A160" s="9" t="s">
        <v>55</v>
      </c>
      <c r="B160" s="9" t="s">
        <v>85</v>
      </c>
      <c r="C160" s="9">
        <v>22</v>
      </c>
      <c r="D160" s="9">
        <v>18</v>
      </c>
      <c r="E160" s="9">
        <v>4</v>
      </c>
      <c r="F160" s="26">
        <v>0.81818181818181823</v>
      </c>
      <c r="G160" s="27">
        <v>0.18181818181818182</v>
      </c>
    </row>
    <row r="161" spans="1:7" x14ac:dyDescent="0.25">
      <c r="A161" s="9" t="s">
        <v>55</v>
      </c>
      <c r="B161" s="9" t="s">
        <v>86</v>
      </c>
      <c r="C161" s="9">
        <v>22</v>
      </c>
      <c r="D161" s="9">
        <v>20</v>
      </c>
      <c r="E161" s="9">
        <v>2</v>
      </c>
      <c r="F161" s="26">
        <v>0.90909090909090906</v>
      </c>
      <c r="G161" s="27">
        <v>9.0909090909090912E-2</v>
      </c>
    </row>
    <row r="162" spans="1:7" x14ac:dyDescent="0.25">
      <c r="A162" s="9" t="s">
        <v>55</v>
      </c>
      <c r="B162" s="9" t="s">
        <v>87</v>
      </c>
      <c r="C162" s="9">
        <v>22</v>
      </c>
      <c r="D162" s="9">
        <v>22</v>
      </c>
      <c r="E162" s="9">
        <v>0</v>
      </c>
      <c r="F162" s="26">
        <v>1</v>
      </c>
      <c r="G162" s="27">
        <v>0</v>
      </c>
    </row>
    <row r="163" spans="1:7" x14ac:dyDescent="0.25">
      <c r="A163" s="9" t="s">
        <v>55</v>
      </c>
      <c r="B163" s="9" t="s">
        <v>88</v>
      </c>
      <c r="C163" s="9">
        <v>22</v>
      </c>
      <c r="D163" s="9">
        <v>16</v>
      </c>
      <c r="E163" s="9">
        <v>6</v>
      </c>
      <c r="F163" s="26">
        <v>0.72727272727272729</v>
      </c>
      <c r="G163" s="27">
        <v>0.27272727272727271</v>
      </c>
    </row>
    <row r="164" spans="1:7" x14ac:dyDescent="0.25">
      <c r="A164" s="9" t="s">
        <v>56</v>
      </c>
      <c r="B164" s="9" t="s">
        <v>83</v>
      </c>
      <c r="C164" s="9">
        <v>22</v>
      </c>
      <c r="D164" s="9">
        <v>21</v>
      </c>
      <c r="E164" s="9">
        <v>1</v>
      </c>
      <c r="F164" s="26">
        <v>0.95454545454545459</v>
      </c>
      <c r="G164" s="27">
        <v>4.5454545454545456E-2</v>
      </c>
    </row>
    <row r="165" spans="1:7" x14ac:dyDescent="0.25">
      <c r="A165" s="9" t="s">
        <v>56</v>
      </c>
      <c r="B165" s="9" t="s">
        <v>84</v>
      </c>
      <c r="C165" s="9">
        <v>22</v>
      </c>
      <c r="D165" s="9">
        <v>20</v>
      </c>
      <c r="E165" s="9">
        <v>2</v>
      </c>
      <c r="F165" s="26">
        <v>0.90909090909090906</v>
      </c>
      <c r="G165" s="27">
        <v>9.0909090909090912E-2</v>
      </c>
    </row>
    <row r="166" spans="1:7" x14ac:dyDescent="0.25">
      <c r="A166" s="9" t="s">
        <v>56</v>
      </c>
      <c r="B166" s="9" t="s">
        <v>85</v>
      </c>
      <c r="C166" s="9">
        <v>22</v>
      </c>
      <c r="D166" s="9">
        <v>21</v>
      </c>
      <c r="E166" s="9">
        <v>1</v>
      </c>
      <c r="F166" s="26">
        <v>0.95454545454545459</v>
      </c>
      <c r="G166" s="27">
        <v>4.5454545454545456E-2</v>
      </c>
    </row>
    <row r="167" spans="1:7" x14ac:dyDescent="0.25">
      <c r="A167" s="9" t="s">
        <v>56</v>
      </c>
      <c r="B167" s="9" t="s">
        <v>86</v>
      </c>
      <c r="C167" s="9">
        <v>22</v>
      </c>
      <c r="D167" s="9">
        <v>17</v>
      </c>
      <c r="E167" s="9">
        <v>5</v>
      </c>
      <c r="F167" s="26">
        <v>0.77272727272727271</v>
      </c>
      <c r="G167" s="27">
        <v>0.22727272727272727</v>
      </c>
    </row>
    <row r="168" spans="1:7" x14ac:dyDescent="0.25">
      <c r="A168" s="9" t="s">
        <v>56</v>
      </c>
      <c r="B168" s="9" t="s">
        <v>87</v>
      </c>
      <c r="C168" s="9">
        <v>22</v>
      </c>
      <c r="D168" s="9">
        <v>17</v>
      </c>
      <c r="E168" s="9">
        <v>5</v>
      </c>
      <c r="F168" s="26">
        <v>0.77272727272727271</v>
      </c>
      <c r="G168" s="27">
        <v>0.22727272727272727</v>
      </c>
    </row>
    <row r="169" spans="1:7" x14ac:dyDescent="0.25">
      <c r="A169" s="9" t="s">
        <v>56</v>
      </c>
      <c r="B169" s="9" t="s">
        <v>88</v>
      </c>
      <c r="C169" s="9">
        <v>22</v>
      </c>
      <c r="D169" s="9">
        <v>20</v>
      </c>
      <c r="E169" s="9">
        <v>2</v>
      </c>
      <c r="F169" s="26">
        <v>0.90909090909090906</v>
      </c>
      <c r="G169" s="27">
        <v>9.0909090909090912E-2</v>
      </c>
    </row>
    <row r="170" spans="1:7" x14ac:dyDescent="0.25">
      <c r="A170" s="9" t="s">
        <v>57</v>
      </c>
      <c r="B170" s="9" t="s">
        <v>83</v>
      </c>
      <c r="C170" s="9">
        <v>22</v>
      </c>
      <c r="D170" s="9">
        <v>18</v>
      </c>
      <c r="E170" s="9">
        <v>4</v>
      </c>
      <c r="F170" s="26">
        <v>0.81818181818181823</v>
      </c>
      <c r="G170" s="27">
        <v>0.18181818181818182</v>
      </c>
    </row>
    <row r="171" spans="1:7" x14ac:dyDescent="0.25">
      <c r="A171" s="9" t="s">
        <v>57</v>
      </c>
      <c r="B171" s="9" t="s">
        <v>84</v>
      </c>
      <c r="C171" s="9">
        <v>22</v>
      </c>
      <c r="D171" s="9">
        <v>21</v>
      </c>
      <c r="E171" s="9">
        <v>1</v>
      </c>
      <c r="F171" s="26">
        <v>0.95454545454545459</v>
      </c>
      <c r="G171" s="27">
        <v>4.5454545454545456E-2</v>
      </c>
    </row>
    <row r="172" spans="1:7" x14ac:dyDescent="0.25">
      <c r="A172" s="9" t="s">
        <v>57</v>
      </c>
      <c r="B172" s="9" t="s">
        <v>85</v>
      </c>
      <c r="C172" s="9">
        <v>22</v>
      </c>
      <c r="D172" s="9">
        <v>17</v>
      </c>
      <c r="E172" s="9">
        <v>5</v>
      </c>
      <c r="F172" s="26">
        <v>0.77272727272727271</v>
      </c>
      <c r="G172" s="27">
        <v>0.22727272727272727</v>
      </c>
    </row>
    <row r="173" spans="1:7" x14ac:dyDescent="0.25">
      <c r="A173" s="9" t="s">
        <v>57</v>
      </c>
      <c r="B173" s="9" t="s">
        <v>86</v>
      </c>
      <c r="C173" s="9">
        <v>22</v>
      </c>
      <c r="D173" s="9">
        <v>19</v>
      </c>
      <c r="E173" s="9">
        <v>3</v>
      </c>
      <c r="F173" s="26">
        <v>0.86363636363636365</v>
      </c>
      <c r="G173" s="27">
        <v>0.13636363636363635</v>
      </c>
    </row>
    <row r="174" spans="1:7" x14ac:dyDescent="0.25">
      <c r="A174" s="9" t="s">
        <v>57</v>
      </c>
      <c r="B174" s="9" t="s">
        <v>87</v>
      </c>
      <c r="C174" s="9">
        <v>22</v>
      </c>
      <c r="D174" s="9">
        <v>21</v>
      </c>
      <c r="E174" s="9">
        <v>1</v>
      </c>
      <c r="F174" s="26">
        <v>0.95454545454545459</v>
      </c>
      <c r="G174" s="27">
        <v>4.5454545454545456E-2</v>
      </c>
    </row>
    <row r="175" spans="1:7" x14ac:dyDescent="0.25">
      <c r="A175" s="9" t="s">
        <v>57</v>
      </c>
      <c r="B175" s="9" t="s">
        <v>88</v>
      </c>
      <c r="C175" s="9">
        <v>22</v>
      </c>
      <c r="D175" s="9">
        <v>17</v>
      </c>
      <c r="E175" s="9">
        <v>5</v>
      </c>
      <c r="F175" s="26">
        <v>0.77272727272727271</v>
      </c>
      <c r="G175" s="27">
        <v>0.22727272727272727</v>
      </c>
    </row>
    <row r="176" spans="1:7" x14ac:dyDescent="0.25">
      <c r="A176" s="9" t="s">
        <v>58</v>
      </c>
      <c r="B176" s="9" t="s">
        <v>83</v>
      </c>
      <c r="C176" s="9">
        <v>22</v>
      </c>
      <c r="D176" s="9">
        <v>19</v>
      </c>
      <c r="E176" s="9">
        <v>3</v>
      </c>
      <c r="F176" s="26">
        <v>0.86363636363636365</v>
      </c>
      <c r="G176" s="27">
        <v>0.13636363636363635</v>
      </c>
    </row>
    <row r="177" spans="1:7" x14ac:dyDescent="0.25">
      <c r="A177" s="9" t="s">
        <v>58</v>
      </c>
      <c r="B177" s="9" t="s">
        <v>84</v>
      </c>
      <c r="C177" s="9">
        <v>22</v>
      </c>
      <c r="D177" s="9">
        <v>22</v>
      </c>
      <c r="E177" s="9">
        <v>0</v>
      </c>
      <c r="F177" s="26">
        <v>1</v>
      </c>
      <c r="G177" s="27">
        <v>0</v>
      </c>
    </row>
    <row r="178" spans="1:7" x14ac:dyDescent="0.25">
      <c r="A178" s="9" t="s">
        <v>58</v>
      </c>
      <c r="B178" s="9" t="s">
        <v>85</v>
      </c>
      <c r="C178" s="9">
        <v>22</v>
      </c>
      <c r="D178" s="9">
        <v>21</v>
      </c>
      <c r="E178" s="9">
        <v>1</v>
      </c>
      <c r="F178" s="26">
        <v>0.95454545454545459</v>
      </c>
      <c r="G178" s="27">
        <v>4.5454545454545456E-2</v>
      </c>
    </row>
    <row r="179" spans="1:7" x14ac:dyDescent="0.25">
      <c r="A179" s="9" t="s">
        <v>58</v>
      </c>
      <c r="B179" s="9" t="s">
        <v>86</v>
      </c>
      <c r="C179" s="9">
        <v>22</v>
      </c>
      <c r="D179" s="9">
        <v>21</v>
      </c>
      <c r="E179" s="9">
        <v>1</v>
      </c>
      <c r="F179" s="26">
        <v>0.95454545454545459</v>
      </c>
      <c r="G179" s="27">
        <v>4.5454545454545456E-2</v>
      </c>
    </row>
    <row r="180" spans="1:7" x14ac:dyDescent="0.25">
      <c r="A180" s="9" t="s">
        <v>58</v>
      </c>
      <c r="B180" s="9" t="s">
        <v>87</v>
      </c>
      <c r="C180" s="9">
        <v>22</v>
      </c>
      <c r="D180" s="9">
        <v>22</v>
      </c>
      <c r="E180" s="9">
        <v>0</v>
      </c>
      <c r="F180" s="26">
        <v>1</v>
      </c>
      <c r="G180" s="27">
        <v>0</v>
      </c>
    </row>
    <row r="181" spans="1:7" x14ac:dyDescent="0.25">
      <c r="A181" s="9" t="s">
        <v>58</v>
      </c>
      <c r="B181" s="9" t="s">
        <v>88</v>
      </c>
      <c r="C181" s="9">
        <v>22</v>
      </c>
      <c r="D181" s="9">
        <v>18</v>
      </c>
      <c r="E181" s="9">
        <v>4</v>
      </c>
      <c r="F181" s="26">
        <v>0.81818181818181823</v>
      </c>
      <c r="G181" s="27">
        <v>0.18181818181818182</v>
      </c>
    </row>
    <row r="182" spans="1:7" x14ac:dyDescent="0.25">
      <c r="A182" s="9" t="s">
        <v>59</v>
      </c>
      <c r="B182" s="9" t="s">
        <v>83</v>
      </c>
      <c r="C182" s="9">
        <v>22</v>
      </c>
      <c r="D182" s="9">
        <v>18</v>
      </c>
      <c r="E182" s="9">
        <v>4</v>
      </c>
      <c r="F182" s="26">
        <v>0.81818181818181823</v>
      </c>
      <c r="G182" s="27">
        <v>0.18181818181818182</v>
      </c>
    </row>
    <row r="183" spans="1:7" x14ac:dyDescent="0.25">
      <c r="A183" s="9" t="s">
        <v>59</v>
      </c>
      <c r="B183" s="9" t="s">
        <v>84</v>
      </c>
      <c r="C183" s="9">
        <v>22</v>
      </c>
      <c r="D183" s="9">
        <v>22</v>
      </c>
      <c r="E183" s="9">
        <v>0</v>
      </c>
      <c r="F183" s="26">
        <v>1</v>
      </c>
      <c r="G183" s="27">
        <v>0</v>
      </c>
    </row>
    <row r="184" spans="1:7" x14ac:dyDescent="0.25">
      <c r="A184" s="9" t="s">
        <v>59</v>
      </c>
      <c r="B184" s="9" t="s">
        <v>85</v>
      </c>
      <c r="C184" s="9">
        <v>22</v>
      </c>
      <c r="D184" s="9">
        <v>18</v>
      </c>
      <c r="E184" s="9">
        <v>4</v>
      </c>
      <c r="F184" s="26">
        <v>0.81818181818181823</v>
      </c>
      <c r="G184" s="27">
        <v>0.18181818181818182</v>
      </c>
    </row>
    <row r="185" spans="1:7" x14ac:dyDescent="0.25">
      <c r="A185" s="9" t="s">
        <v>59</v>
      </c>
      <c r="B185" s="9" t="s">
        <v>86</v>
      </c>
      <c r="C185" s="9">
        <v>22</v>
      </c>
      <c r="D185" s="9">
        <v>21</v>
      </c>
      <c r="E185" s="9">
        <v>1</v>
      </c>
      <c r="F185" s="26">
        <v>0.95454545454545459</v>
      </c>
      <c r="G185" s="27">
        <v>4.5454545454545456E-2</v>
      </c>
    </row>
    <row r="186" spans="1:7" x14ac:dyDescent="0.25">
      <c r="A186" s="9" t="s">
        <v>59</v>
      </c>
      <c r="B186" s="9" t="s">
        <v>87</v>
      </c>
      <c r="C186" s="9">
        <v>22</v>
      </c>
      <c r="D186" s="9">
        <v>21</v>
      </c>
      <c r="E186" s="9">
        <v>1</v>
      </c>
      <c r="F186" s="26">
        <v>0.95454545454545459</v>
      </c>
      <c r="G186" s="27">
        <v>4.5454545454545456E-2</v>
      </c>
    </row>
    <row r="187" spans="1:7" x14ac:dyDescent="0.25">
      <c r="A187" s="9" t="s">
        <v>59</v>
      </c>
      <c r="B187" s="9" t="s">
        <v>88</v>
      </c>
      <c r="C187" s="9">
        <v>22</v>
      </c>
      <c r="D187" s="9">
        <v>16</v>
      </c>
      <c r="E187" s="9">
        <v>6</v>
      </c>
      <c r="F187" s="26">
        <v>0.72727272727272729</v>
      </c>
      <c r="G187" s="27">
        <v>0.27272727272727271</v>
      </c>
    </row>
    <row r="188" spans="1:7" x14ac:dyDescent="0.25">
      <c r="A188" s="9" t="s">
        <v>60</v>
      </c>
      <c r="B188" s="9" t="s">
        <v>83</v>
      </c>
      <c r="C188" s="9">
        <v>22</v>
      </c>
      <c r="D188" s="9">
        <v>16</v>
      </c>
      <c r="E188" s="9">
        <v>6</v>
      </c>
      <c r="F188" s="26">
        <v>0.72727272727272729</v>
      </c>
      <c r="G188" s="27">
        <v>0.27272727272727271</v>
      </c>
    </row>
    <row r="189" spans="1:7" x14ac:dyDescent="0.25">
      <c r="A189" s="9" t="s">
        <v>60</v>
      </c>
      <c r="B189" s="9" t="s">
        <v>84</v>
      </c>
      <c r="C189" s="9">
        <v>22</v>
      </c>
      <c r="D189" s="9">
        <v>22</v>
      </c>
      <c r="E189" s="9">
        <v>0</v>
      </c>
      <c r="F189" s="26">
        <v>1</v>
      </c>
      <c r="G189" s="27">
        <v>0</v>
      </c>
    </row>
    <row r="190" spans="1:7" x14ac:dyDescent="0.25">
      <c r="A190" s="9" t="s">
        <v>60</v>
      </c>
      <c r="B190" s="9" t="s">
        <v>85</v>
      </c>
      <c r="C190" s="9">
        <v>22</v>
      </c>
      <c r="D190" s="9">
        <v>17</v>
      </c>
      <c r="E190" s="9">
        <v>5</v>
      </c>
      <c r="F190" s="26">
        <v>0.77272727272727271</v>
      </c>
      <c r="G190" s="27">
        <v>0.22727272727272727</v>
      </c>
    </row>
    <row r="191" spans="1:7" x14ac:dyDescent="0.25">
      <c r="A191" s="9" t="s">
        <v>60</v>
      </c>
      <c r="B191" s="9" t="s">
        <v>86</v>
      </c>
      <c r="C191" s="9">
        <v>22</v>
      </c>
      <c r="D191" s="9">
        <v>16</v>
      </c>
      <c r="E191" s="9">
        <v>6</v>
      </c>
      <c r="F191" s="26">
        <v>0.72727272727272729</v>
      </c>
      <c r="G191" s="27">
        <v>0.27272727272727271</v>
      </c>
    </row>
    <row r="192" spans="1:7" x14ac:dyDescent="0.25">
      <c r="A192" s="9" t="s">
        <v>60</v>
      </c>
      <c r="B192" s="9" t="s">
        <v>87</v>
      </c>
      <c r="C192" s="9">
        <v>22</v>
      </c>
      <c r="D192" s="9">
        <v>22</v>
      </c>
      <c r="E192" s="9">
        <v>0</v>
      </c>
      <c r="F192" s="26">
        <v>1</v>
      </c>
      <c r="G192" s="27">
        <v>0</v>
      </c>
    </row>
    <row r="193" spans="1:7" x14ac:dyDescent="0.25">
      <c r="A193" s="9" t="s">
        <v>60</v>
      </c>
      <c r="B193" s="9" t="s">
        <v>88</v>
      </c>
      <c r="C193" s="9">
        <v>22</v>
      </c>
      <c r="D193" s="9">
        <v>22</v>
      </c>
      <c r="E193" s="9">
        <v>0</v>
      </c>
      <c r="F193" s="26">
        <v>1</v>
      </c>
      <c r="G193" s="27">
        <v>0</v>
      </c>
    </row>
    <row r="194" spans="1:7" x14ac:dyDescent="0.25">
      <c r="A194" s="9" t="s">
        <v>61</v>
      </c>
      <c r="B194" s="9" t="s">
        <v>83</v>
      </c>
      <c r="C194" s="9">
        <v>22</v>
      </c>
      <c r="D194" s="9">
        <v>20</v>
      </c>
      <c r="E194" s="9">
        <v>2</v>
      </c>
      <c r="F194" s="26">
        <v>0.90909090909090906</v>
      </c>
      <c r="G194" s="27">
        <v>9.0909090909090912E-2</v>
      </c>
    </row>
    <row r="195" spans="1:7" x14ac:dyDescent="0.25">
      <c r="A195" s="9" t="s">
        <v>61</v>
      </c>
      <c r="B195" s="9" t="s">
        <v>84</v>
      </c>
      <c r="C195" s="9">
        <v>22</v>
      </c>
      <c r="D195" s="9">
        <v>21</v>
      </c>
      <c r="E195" s="9">
        <v>1</v>
      </c>
      <c r="F195" s="26">
        <v>0.95454545454545459</v>
      </c>
      <c r="G195" s="27">
        <v>4.5454545454545456E-2</v>
      </c>
    </row>
    <row r="196" spans="1:7" x14ac:dyDescent="0.25">
      <c r="A196" s="9" t="s">
        <v>61</v>
      </c>
      <c r="B196" s="9" t="s">
        <v>85</v>
      </c>
      <c r="C196" s="9">
        <v>22</v>
      </c>
      <c r="D196" s="9">
        <v>21</v>
      </c>
      <c r="E196" s="9">
        <v>1</v>
      </c>
      <c r="F196" s="26">
        <v>0.95454545454545459</v>
      </c>
      <c r="G196" s="27">
        <v>4.5454545454545456E-2</v>
      </c>
    </row>
    <row r="197" spans="1:7" x14ac:dyDescent="0.25">
      <c r="A197" s="9" t="s">
        <v>61</v>
      </c>
      <c r="B197" s="9" t="s">
        <v>86</v>
      </c>
      <c r="C197" s="9">
        <v>22</v>
      </c>
      <c r="D197" s="9">
        <v>17</v>
      </c>
      <c r="E197" s="9">
        <v>5</v>
      </c>
      <c r="F197" s="26">
        <v>0.77272727272727271</v>
      </c>
      <c r="G197" s="27">
        <v>0.22727272727272727</v>
      </c>
    </row>
    <row r="198" spans="1:7" x14ac:dyDescent="0.25">
      <c r="A198" s="9" t="s">
        <v>61</v>
      </c>
      <c r="B198" s="9" t="s">
        <v>87</v>
      </c>
      <c r="C198" s="9">
        <v>22</v>
      </c>
      <c r="D198" s="9">
        <v>16</v>
      </c>
      <c r="E198" s="9">
        <v>6</v>
      </c>
      <c r="F198" s="26">
        <v>0.72727272727272729</v>
      </c>
      <c r="G198" s="27">
        <v>0.27272727272727271</v>
      </c>
    </row>
    <row r="199" spans="1:7" x14ac:dyDescent="0.25">
      <c r="A199" s="9" t="s">
        <v>61</v>
      </c>
      <c r="B199" s="9" t="s">
        <v>88</v>
      </c>
      <c r="C199" s="9">
        <v>22</v>
      </c>
      <c r="D199" s="9">
        <v>16</v>
      </c>
      <c r="E199" s="9">
        <v>6</v>
      </c>
      <c r="F199" s="26">
        <v>0.72727272727272729</v>
      </c>
      <c r="G199" s="27">
        <v>0.27272727272727271</v>
      </c>
    </row>
    <row r="200" spans="1:7" x14ac:dyDescent="0.25">
      <c r="A200" s="9" t="s">
        <v>62</v>
      </c>
      <c r="B200" s="9" t="s">
        <v>83</v>
      </c>
      <c r="C200" s="9">
        <v>22</v>
      </c>
      <c r="D200" s="9">
        <v>21</v>
      </c>
      <c r="E200" s="9">
        <v>1</v>
      </c>
      <c r="F200" s="26">
        <v>0.95454545454545459</v>
      </c>
      <c r="G200" s="27">
        <v>4.5454545454545456E-2</v>
      </c>
    </row>
    <row r="201" spans="1:7" x14ac:dyDescent="0.25">
      <c r="A201" s="9" t="s">
        <v>62</v>
      </c>
      <c r="B201" s="9" t="s">
        <v>84</v>
      </c>
      <c r="C201" s="9">
        <v>22</v>
      </c>
      <c r="D201" s="9">
        <v>17</v>
      </c>
      <c r="E201" s="9">
        <v>5</v>
      </c>
      <c r="F201" s="26">
        <v>0.77272727272727271</v>
      </c>
      <c r="G201" s="27">
        <v>0.22727272727272727</v>
      </c>
    </row>
    <row r="202" spans="1:7" x14ac:dyDescent="0.25">
      <c r="A202" s="9" t="s">
        <v>62</v>
      </c>
      <c r="B202" s="9" t="s">
        <v>85</v>
      </c>
      <c r="C202" s="9">
        <v>22</v>
      </c>
      <c r="D202" s="9">
        <v>19</v>
      </c>
      <c r="E202" s="9">
        <v>3</v>
      </c>
      <c r="F202" s="26">
        <v>0.86363636363636365</v>
      </c>
      <c r="G202" s="27">
        <v>0.13636363636363635</v>
      </c>
    </row>
    <row r="203" spans="1:7" x14ac:dyDescent="0.25">
      <c r="A203" s="9" t="s">
        <v>62</v>
      </c>
      <c r="B203" s="9" t="s">
        <v>86</v>
      </c>
      <c r="C203" s="9">
        <v>22</v>
      </c>
      <c r="D203" s="9">
        <v>20</v>
      </c>
      <c r="E203" s="9">
        <v>2</v>
      </c>
      <c r="F203" s="26">
        <v>0.90909090909090906</v>
      </c>
      <c r="G203" s="27">
        <v>9.0909090909090912E-2</v>
      </c>
    </row>
    <row r="204" spans="1:7" x14ac:dyDescent="0.25">
      <c r="A204" s="9" t="s">
        <v>62</v>
      </c>
      <c r="B204" s="9" t="s">
        <v>87</v>
      </c>
      <c r="C204" s="9">
        <v>22</v>
      </c>
      <c r="D204" s="9">
        <v>19</v>
      </c>
      <c r="E204" s="9">
        <v>3</v>
      </c>
      <c r="F204" s="26">
        <v>0.86363636363636365</v>
      </c>
      <c r="G204" s="27">
        <v>0.13636363636363635</v>
      </c>
    </row>
    <row r="205" spans="1:7" x14ac:dyDescent="0.25">
      <c r="A205" s="9" t="s">
        <v>62</v>
      </c>
      <c r="B205" s="9" t="s">
        <v>88</v>
      </c>
      <c r="C205" s="9">
        <v>22</v>
      </c>
      <c r="D205" s="9">
        <v>17</v>
      </c>
      <c r="E205" s="9">
        <v>5</v>
      </c>
      <c r="F205" s="26">
        <v>0.77272727272727271</v>
      </c>
      <c r="G205" s="27">
        <v>0.22727272727272727</v>
      </c>
    </row>
    <row r="206" spans="1:7" x14ac:dyDescent="0.25">
      <c r="A206" s="9" t="s">
        <v>63</v>
      </c>
      <c r="B206" s="9" t="s">
        <v>83</v>
      </c>
      <c r="C206" s="9">
        <v>22</v>
      </c>
      <c r="D206" s="9">
        <v>18</v>
      </c>
      <c r="E206" s="9">
        <v>4</v>
      </c>
      <c r="F206" s="26">
        <v>0.81818181818181823</v>
      </c>
      <c r="G206" s="27">
        <v>0.18181818181818182</v>
      </c>
    </row>
    <row r="207" spans="1:7" x14ac:dyDescent="0.25">
      <c r="A207" s="9" t="s">
        <v>63</v>
      </c>
      <c r="B207" s="9" t="s">
        <v>84</v>
      </c>
      <c r="C207" s="9">
        <v>22</v>
      </c>
      <c r="D207" s="9">
        <v>21</v>
      </c>
      <c r="E207" s="9">
        <v>1</v>
      </c>
      <c r="F207" s="26">
        <v>0.95454545454545459</v>
      </c>
      <c r="G207" s="27">
        <v>4.5454545454545456E-2</v>
      </c>
    </row>
    <row r="208" spans="1:7" x14ac:dyDescent="0.25">
      <c r="A208" s="9" t="s">
        <v>63</v>
      </c>
      <c r="B208" s="9" t="s">
        <v>85</v>
      </c>
      <c r="C208" s="9">
        <v>22</v>
      </c>
      <c r="D208" s="9">
        <v>22</v>
      </c>
      <c r="E208" s="9">
        <v>0</v>
      </c>
      <c r="F208" s="26">
        <v>1</v>
      </c>
      <c r="G208" s="27">
        <v>0</v>
      </c>
    </row>
    <row r="209" spans="1:7" x14ac:dyDescent="0.25">
      <c r="A209" s="9" t="s">
        <v>63</v>
      </c>
      <c r="B209" s="9" t="s">
        <v>86</v>
      </c>
      <c r="C209" s="9">
        <v>22</v>
      </c>
      <c r="D209" s="9">
        <v>19</v>
      </c>
      <c r="E209" s="9">
        <v>3</v>
      </c>
      <c r="F209" s="26">
        <v>0.86363636363636365</v>
      </c>
      <c r="G209" s="27">
        <v>0.13636363636363635</v>
      </c>
    </row>
    <row r="210" spans="1:7" x14ac:dyDescent="0.25">
      <c r="A210" s="9" t="s">
        <v>63</v>
      </c>
      <c r="B210" s="9" t="s">
        <v>87</v>
      </c>
      <c r="C210" s="9">
        <v>22</v>
      </c>
      <c r="D210" s="9">
        <v>18</v>
      </c>
      <c r="E210" s="9">
        <v>4</v>
      </c>
      <c r="F210" s="26">
        <v>0.81818181818181823</v>
      </c>
      <c r="G210" s="27">
        <v>0.18181818181818182</v>
      </c>
    </row>
    <row r="211" spans="1:7" x14ac:dyDescent="0.25">
      <c r="A211" s="9" t="s">
        <v>63</v>
      </c>
      <c r="B211" s="9" t="s">
        <v>88</v>
      </c>
      <c r="C211" s="9">
        <v>22</v>
      </c>
      <c r="D211" s="9">
        <v>19</v>
      </c>
      <c r="E211" s="9">
        <v>3</v>
      </c>
      <c r="F211" s="26">
        <v>0.86363636363636365</v>
      </c>
      <c r="G211" s="27">
        <v>0.13636363636363635</v>
      </c>
    </row>
    <row r="212" spans="1:7" x14ac:dyDescent="0.25">
      <c r="A212" s="9" t="s">
        <v>64</v>
      </c>
      <c r="B212" s="9" t="s">
        <v>83</v>
      </c>
      <c r="C212" s="9">
        <v>22</v>
      </c>
      <c r="D212" s="9">
        <v>17</v>
      </c>
      <c r="E212" s="9">
        <v>5</v>
      </c>
      <c r="F212" s="26">
        <v>0.77272727272727271</v>
      </c>
      <c r="G212" s="27">
        <v>0.22727272727272727</v>
      </c>
    </row>
    <row r="213" spans="1:7" x14ac:dyDescent="0.25">
      <c r="A213" s="9" t="s">
        <v>64</v>
      </c>
      <c r="B213" s="9" t="s">
        <v>84</v>
      </c>
      <c r="C213" s="9">
        <v>22</v>
      </c>
      <c r="D213" s="9">
        <v>18</v>
      </c>
      <c r="E213" s="9">
        <v>4</v>
      </c>
      <c r="F213" s="26">
        <v>0.81818181818181823</v>
      </c>
      <c r="G213" s="27">
        <v>0.18181818181818182</v>
      </c>
    </row>
    <row r="214" spans="1:7" x14ac:dyDescent="0.25">
      <c r="A214" s="9" t="s">
        <v>64</v>
      </c>
      <c r="B214" s="9" t="s">
        <v>85</v>
      </c>
      <c r="C214" s="9">
        <v>22</v>
      </c>
      <c r="D214" s="9">
        <v>17</v>
      </c>
      <c r="E214" s="9">
        <v>5</v>
      </c>
      <c r="F214" s="26">
        <v>0.77272727272727271</v>
      </c>
      <c r="G214" s="27">
        <v>0.22727272727272727</v>
      </c>
    </row>
    <row r="215" spans="1:7" x14ac:dyDescent="0.25">
      <c r="A215" s="9" t="s">
        <v>64</v>
      </c>
      <c r="B215" s="9" t="s">
        <v>86</v>
      </c>
      <c r="C215" s="9">
        <v>22</v>
      </c>
      <c r="D215" s="9">
        <v>17</v>
      </c>
      <c r="E215" s="9">
        <v>5</v>
      </c>
      <c r="F215" s="26">
        <v>0.77272727272727271</v>
      </c>
      <c r="G215" s="27">
        <v>0.22727272727272727</v>
      </c>
    </row>
    <row r="216" spans="1:7" x14ac:dyDescent="0.25">
      <c r="A216" s="9" t="s">
        <v>64</v>
      </c>
      <c r="B216" s="9" t="s">
        <v>87</v>
      </c>
      <c r="C216" s="9">
        <v>22</v>
      </c>
      <c r="D216" s="9">
        <v>19</v>
      </c>
      <c r="E216" s="9">
        <v>3</v>
      </c>
      <c r="F216" s="26">
        <v>0.86363636363636365</v>
      </c>
      <c r="G216" s="27">
        <v>0.13636363636363635</v>
      </c>
    </row>
    <row r="217" spans="1:7" x14ac:dyDescent="0.25">
      <c r="A217" s="9" t="s">
        <v>64</v>
      </c>
      <c r="B217" s="9" t="s">
        <v>88</v>
      </c>
      <c r="C217" s="9">
        <v>22</v>
      </c>
      <c r="D217" s="9">
        <v>20</v>
      </c>
      <c r="E217" s="9">
        <v>2</v>
      </c>
      <c r="F217" s="26">
        <v>0.90909090909090906</v>
      </c>
      <c r="G217" s="27">
        <v>9.0909090909090912E-2</v>
      </c>
    </row>
    <row r="218" spans="1:7" x14ac:dyDescent="0.25">
      <c r="A218" s="9" t="s">
        <v>65</v>
      </c>
      <c r="B218" s="9" t="s">
        <v>83</v>
      </c>
      <c r="C218" s="9">
        <v>22</v>
      </c>
      <c r="D218" s="9">
        <v>18</v>
      </c>
      <c r="E218" s="9">
        <v>4</v>
      </c>
      <c r="F218" s="26">
        <v>0.81818181818181823</v>
      </c>
      <c r="G218" s="27">
        <v>0.18181818181818182</v>
      </c>
    </row>
    <row r="219" spans="1:7" x14ac:dyDescent="0.25">
      <c r="A219" s="9" t="s">
        <v>65</v>
      </c>
      <c r="B219" s="9" t="s">
        <v>84</v>
      </c>
      <c r="C219" s="9">
        <v>22</v>
      </c>
      <c r="D219" s="9">
        <v>17</v>
      </c>
      <c r="E219" s="9">
        <v>5</v>
      </c>
      <c r="F219" s="26">
        <v>0.77272727272727271</v>
      </c>
      <c r="G219" s="27">
        <v>0.22727272727272727</v>
      </c>
    </row>
    <row r="220" spans="1:7" x14ac:dyDescent="0.25">
      <c r="A220" s="9" t="s">
        <v>65</v>
      </c>
      <c r="B220" s="9" t="s">
        <v>85</v>
      </c>
      <c r="C220" s="9">
        <v>22</v>
      </c>
      <c r="D220" s="9">
        <v>19</v>
      </c>
      <c r="E220" s="9">
        <v>3</v>
      </c>
      <c r="F220" s="26">
        <v>0.86363636363636365</v>
      </c>
      <c r="G220" s="27">
        <v>0.13636363636363635</v>
      </c>
    </row>
    <row r="221" spans="1:7" x14ac:dyDescent="0.25">
      <c r="A221" s="9" t="s">
        <v>65</v>
      </c>
      <c r="B221" s="9" t="s">
        <v>86</v>
      </c>
      <c r="C221" s="9">
        <v>22</v>
      </c>
      <c r="D221" s="9">
        <v>20</v>
      </c>
      <c r="E221" s="9">
        <v>2</v>
      </c>
      <c r="F221" s="26">
        <v>0.90909090909090906</v>
      </c>
      <c r="G221" s="27">
        <v>9.0909090909090912E-2</v>
      </c>
    </row>
    <row r="222" spans="1:7" x14ac:dyDescent="0.25">
      <c r="A222" s="9" t="s">
        <v>65</v>
      </c>
      <c r="B222" s="9" t="s">
        <v>87</v>
      </c>
      <c r="C222" s="9">
        <v>22</v>
      </c>
      <c r="D222" s="9">
        <v>18</v>
      </c>
      <c r="E222" s="9">
        <v>4</v>
      </c>
      <c r="F222" s="26">
        <v>0.81818181818181823</v>
      </c>
      <c r="G222" s="27">
        <v>0.18181818181818182</v>
      </c>
    </row>
    <row r="223" spans="1:7" x14ac:dyDescent="0.25">
      <c r="A223" s="9" t="s">
        <v>65</v>
      </c>
      <c r="B223" s="9" t="s">
        <v>88</v>
      </c>
      <c r="C223" s="9">
        <v>22</v>
      </c>
      <c r="D223" s="9">
        <v>16</v>
      </c>
      <c r="E223" s="9">
        <v>6</v>
      </c>
      <c r="F223" s="26">
        <v>0.72727272727272729</v>
      </c>
      <c r="G223" s="27">
        <v>0.27272727272727271</v>
      </c>
    </row>
    <row r="224" spans="1:7" x14ac:dyDescent="0.25">
      <c r="A224" s="9" t="s">
        <v>66</v>
      </c>
      <c r="B224" s="9" t="s">
        <v>83</v>
      </c>
      <c r="C224" s="9">
        <v>22</v>
      </c>
      <c r="D224" s="9">
        <v>21</v>
      </c>
      <c r="E224" s="9">
        <v>1</v>
      </c>
      <c r="F224" s="26">
        <v>0.95454545454545459</v>
      </c>
      <c r="G224" s="27">
        <v>4.5454545454545456E-2</v>
      </c>
    </row>
    <row r="225" spans="1:7" x14ac:dyDescent="0.25">
      <c r="A225" s="9" t="s">
        <v>66</v>
      </c>
      <c r="B225" s="9" t="s">
        <v>84</v>
      </c>
      <c r="C225" s="9">
        <v>22</v>
      </c>
      <c r="D225" s="9">
        <v>17</v>
      </c>
      <c r="E225" s="9">
        <v>5</v>
      </c>
      <c r="F225" s="26">
        <v>0.77272727272727271</v>
      </c>
      <c r="G225" s="27">
        <v>0.22727272727272727</v>
      </c>
    </row>
    <row r="226" spans="1:7" x14ac:dyDescent="0.25">
      <c r="A226" s="9" t="s">
        <v>66</v>
      </c>
      <c r="B226" s="9" t="s">
        <v>85</v>
      </c>
      <c r="C226" s="9">
        <v>22</v>
      </c>
      <c r="D226" s="9">
        <v>22</v>
      </c>
      <c r="E226" s="9">
        <v>0</v>
      </c>
      <c r="F226" s="26">
        <v>1</v>
      </c>
      <c r="G226" s="27">
        <v>0</v>
      </c>
    </row>
    <row r="227" spans="1:7" x14ac:dyDescent="0.25">
      <c r="A227" s="9" t="s">
        <v>66</v>
      </c>
      <c r="B227" s="9" t="s">
        <v>86</v>
      </c>
      <c r="C227" s="9">
        <v>22</v>
      </c>
      <c r="D227" s="9">
        <v>19</v>
      </c>
      <c r="E227" s="9">
        <v>3</v>
      </c>
      <c r="F227" s="26">
        <v>0.86363636363636365</v>
      </c>
      <c r="G227" s="27">
        <v>0.13636363636363635</v>
      </c>
    </row>
    <row r="228" spans="1:7" x14ac:dyDescent="0.25">
      <c r="A228" s="9" t="s">
        <v>66</v>
      </c>
      <c r="B228" s="9" t="s">
        <v>87</v>
      </c>
      <c r="C228" s="9">
        <v>22</v>
      </c>
      <c r="D228" s="9">
        <v>16</v>
      </c>
      <c r="E228" s="9">
        <v>6</v>
      </c>
      <c r="F228" s="26">
        <v>0.72727272727272729</v>
      </c>
      <c r="G228" s="27">
        <v>0.27272727272727271</v>
      </c>
    </row>
    <row r="229" spans="1:7" x14ac:dyDescent="0.25">
      <c r="A229" s="9" t="s">
        <v>66</v>
      </c>
      <c r="B229" s="9" t="s">
        <v>88</v>
      </c>
      <c r="C229" s="9">
        <v>22</v>
      </c>
      <c r="D229" s="9">
        <v>21</v>
      </c>
      <c r="E229" s="9">
        <v>1</v>
      </c>
      <c r="F229" s="26">
        <v>0.95454545454545459</v>
      </c>
      <c r="G229" s="27">
        <v>4.5454545454545456E-2</v>
      </c>
    </row>
    <row r="230" spans="1:7" x14ac:dyDescent="0.25">
      <c r="A230" s="9" t="s">
        <v>67</v>
      </c>
      <c r="B230" s="9" t="s">
        <v>83</v>
      </c>
      <c r="C230" s="9">
        <v>22</v>
      </c>
      <c r="D230" s="9">
        <v>20</v>
      </c>
      <c r="E230" s="9">
        <v>2</v>
      </c>
      <c r="F230" s="26">
        <v>0.90909090909090906</v>
      </c>
      <c r="G230" s="27">
        <v>9.0909090909090912E-2</v>
      </c>
    </row>
    <row r="231" spans="1:7" x14ac:dyDescent="0.25">
      <c r="A231" s="9" t="s">
        <v>67</v>
      </c>
      <c r="B231" s="9" t="s">
        <v>84</v>
      </c>
      <c r="C231" s="9">
        <v>22</v>
      </c>
      <c r="D231" s="9">
        <v>16</v>
      </c>
      <c r="E231" s="9">
        <v>6</v>
      </c>
      <c r="F231" s="26">
        <v>0.72727272727272729</v>
      </c>
      <c r="G231" s="27">
        <v>0.27272727272727271</v>
      </c>
    </row>
    <row r="232" spans="1:7" x14ac:dyDescent="0.25">
      <c r="A232" s="9" t="s">
        <v>67</v>
      </c>
      <c r="B232" s="9" t="s">
        <v>85</v>
      </c>
      <c r="C232" s="9">
        <v>22</v>
      </c>
      <c r="D232" s="9">
        <v>22</v>
      </c>
      <c r="E232" s="9">
        <v>0</v>
      </c>
      <c r="F232" s="26">
        <v>1</v>
      </c>
      <c r="G232" s="27">
        <v>0</v>
      </c>
    </row>
    <row r="233" spans="1:7" x14ac:dyDescent="0.25">
      <c r="A233" s="9" t="s">
        <v>67</v>
      </c>
      <c r="B233" s="9" t="s">
        <v>86</v>
      </c>
      <c r="C233" s="9">
        <v>22</v>
      </c>
      <c r="D233" s="9">
        <v>22</v>
      </c>
      <c r="E233" s="9">
        <v>0</v>
      </c>
      <c r="F233" s="26">
        <v>1</v>
      </c>
      <c r="G233" s="27">
        <v>0</v>
      </c>
    </row>
    <row r="234" spans="1:7" x14ac:dyDescent="0.25">
      <c r="A234" s="9" t="s">
        <v>67</v>
      </c>
      <c r="B234" s="9" t="s">
        <v>87</v>
      </c>
      <c r="C234" s="9">
        <v>22</v>
      </c>
      <c r="D234" s="9">
        <v>22</v>
      </c>
      <c r="E234" s="9">
        <v>0</v>
      </c>
      <c r="F234" s="26">
        <v>1</v>
      </c>
      <c r="G234" s="27">
        <v>0</v>
      </c>
    </row>
    <row r="235" spans="1:7" x14ac:dyDescent="0.25">
      <c r="A235" s="9" t="s">
        <v>67</v>
      </c>
      <c r="B235" s="9" t="s">
        <v>88</v>
      </c>
      <c r="C235" s="9">
        <v>22</v>
      </c>
      <c r="D235" s="9">
        <v>20</v>
      </c>
      <c r="E235" s="9">
        <v>2</v>
      </c>
      <c r="F235" s="26">
        <v>0.90909090909090906</v>
      </c>
      <c r="G235" s="27">
        <v>9.0909090909090912E-2</v>
      </c>
    </row>
    <row r="236" spans="1:7" x14ac:dyDescent="0.25">
      <c r="A236" s="9" t="s">
        <v>68</v>
      </c>
      <c r="B236" s="9" t="s">
        <v>83</v>
      </c>
      <c r="C236" s="9">
        <v>22</v>
      </c>
      <c r="D236" s="9">
        <v>18</v>
      </c>
      <c r="E236" s="9">
        <v>4</v>
      </c>
      <c r="F236" s="26">
        <v>0.81818181818181823</v>
      </c>
      <c r="G236" s="27">
        <v>0.18181818181818182</v>
      </c>
    </row>
    <row r="237" spans="1:7" x14ac:dyDescent="0.25">
      <c r="A237" s="9" t="s">
        <v>68</v>
      </c>
      <c r="B237" s="9" t="s">
        <v>84</v>
      </c>
      <c r="C237" s="9">
        <v>22</v>
      </c>
      <c r="D237" s="9">
        <v>16</v>
      </c>
      <c r="E237" s="9">
        <v>6</v>
      </c>
      <c r="F237" s="26">
        <v>0.72727272727272729</v>
      </c>
      <c r="G237" s="27">
        <v>0.27272727272727271</v>
      </c>
    </row>
    <row r="238" spans="1:7" x14ac:dyDescent="0.25">
      <c r="A238" s="9" t="s">
        <v>68</v>
      </c>
      <c r="B238" s="9" t="s">
        <v>85</v>
      </c>
      <c r="C238" s="9">
        <v>22</v>
      </c>
      <c r="D238" s="9">
        <v>22</v>
      </c>
      <c r="E238" s="9">
        <v>0</v>
      </c>
      <c r="F238" s="26">
        <v>1</v>
      </c>
      <c r="G238" s="27">
        <v>0</v>
      </c>
    </row>
    <row r="239" spans="1:7" x14ac:dyDescent="0.25">
      <c r="A239" s="9" t="s">
        <v>68</v>
      </c>
      <c r="B239" s="9" t="s">
        <v>86</v>
      </c>
      <c r="C239" s="9">
        <v>22</v>
      </c>
      <c r="D239" s="9">
        <v>22</v>
      </c>
      <c r="E239" s="9">
        <v>0</v>
      </c>
      <c r="F239" s="26">
        <v>1</v>
      </c>
      <c r="G239" s="27">
        <v>0</v>
      </c>
    </row>
    <row r="240" spans="1:7" x14ac:dyDescent="0.25">
      <c r="A240" s="9" t="s">
        <v>68</v>
      </c>
      <c r="B240" s="9" t="s">
        <v>87</v>
      </c>
      <c r="C240" s="9">
        <v>22</v>
      </c>
      <c r="D240" s="9">
        <v>16</v>
      </c>
      <c r="E240" s="9">
        <v>6</v>
      </c>
      <c r="F240" s="26">
        <v>0.72727272727272729</v>
      </c>
      <c r="G240" s="27">
        <v>0.27272727272727271</v>
      </c>
    </row>
    <row r="241" spans="1:7" x14ac:dyDescent="0.25">
      <c r="A241" s="9" t="s">
        <v>68</v>
      </c>
      <c r="B241" s="9" t="s">
        <v>88</v>
      </c>
      <c r="C241" s="9">
        <v>22</v>
      </c>
      <c r="D241" s="9">
        <v>17</v>
      </c>
      <c r="E241" s="9">
        <v>5</v>
      </c>
      <c r="F241" s="26">
        <v>0.77272727272727271</v>
      </c>
      <c r="G241" s="27">
        <v>0.22727272727272727</v>
      </c>
    </row>
    <row r="242" spans="1:7" x14ac:dyDescent="0.25">
      <c r="A242" s="9" t="s">
        <v>69</v>
      </c>
      <c r="B242" s="9" t="s">
        <v>83</v>
      </c>
      <c r="C242" s="9">
        <v>22</v>
      </c>
      <c r="D242" s="9">
        <v>21</v>
      </c>
      <c r="E242" s="9">
        <v>1</v>
      </c>
      <c r="F242" s="26">
        <v>0.95454545454545459</v>
      </c>
      <c r="G242" s="27">
        <v>4.5454545454545456E-2</v>
      </c>
    </row>
    <row r="243" spans="1:7" x14ac:dyDescent="0.25">
      <c r="A243" s="9" t="s">
        <v>69</v>
      </c>
      <c r="B243" s="9" t="s">
        <v>84</v>
      </c>
      <c r="C243" s="9">
        <v>22</v>
      </c>
      <c r="D243" s="9">
        <v>17</v>
      </c>
      <c r="E243" s="9">
        <v>5</v>
      </c>
      <c r="F243" s="26">
        <v>0.77272727272727271</v>
      </c>
      <c r="G243" s="27">
        <v>0.22727272727272727</v>
      </c>
    </row>
    <row r="244" spans="1:7" x14ac:dyDescent="0.25">
      <c r="A244" s="9" t="s">
        <v>69</v>
      </c>
      <c r="B244" s="9" t="s">
        <v>85</v>
      </c>
      <c r="C244" s="9">
        <v>22</v>
      </c>
      <c r="D244" s="9">
        <v>18</v>
      </c>
      <c r="E244" s="9">
        <v>4</v>
      </c>
      <c r="F244" s="26">
        <v>0.81818181818181823</v>
      </c>
      <c r="G244" s="27">
        <v>0.18181818181818182</v>
      </c>
    </row>
    <row r="245" spans="1:7" x14ac:dyDescent="0.25">
      <c r="A245" s="9" t="s">
        <v>69</v>
      </c>
      <c r="B245" s="9" t="s">
        <v>86</v>
      </c>
      <c r="C245" s="9">
        <v>22</v>
      </c>
      <c r="D245" s="9">
        <v>16</v>
      </c>
      <c r="E245" s="9">
        <v>6</v>
      </c>
      <c r="F245" s="26">
        <v>0.72727272727272729</v>
      </c>
      <c r="G245" s="27">
        <v>0.27272727272727271</v>
      </c>
    </row>
    <row r="246" spans="1:7" x14ac:dyDescent="0.25">
      <c r="A246" s="9" t="s">
        <v>69</v>
      </c>
      <c r="B246" s="9" t="s">
        <v>87</v>
      </c>
      <c r="C246" s="9">
        <v>22</v>
      </c>
      <c r="D246" s="9">
        <v>21</v>
      </c>
      <c r="E246" s="9">
        <v>1</v>
      </c>
      <c r="F246" s="26">
        <v>0.95454545454545459</v>
      </c>
      <c r="G246" s="27">
        <v>4.5454545454545456E-2</v>
      </c>
    </row>
    <row r="247" spans="1:7" x14ac:dyDescent="0.25">
      <c r="A247" s="9" t="s">
        <v>69</v>
      </c>
      <c r="B247" s="9" t="s">
        <v>88</v>
      </c>
      <c r="C247" s="9">
        <v>22</v>
      </c>
      <c r="D247" s="9">
        <v>17</v>
      </c>
      <c r="E247" s="9">
        <v>5</v>
      </c>
      <c r="F247" s="26">
        <v>0.77272727272727271</v>
      </c>
      <c r="G247" s="27">
        <v>0.22727272727272727</v>
      </c>
    </row>
    <row r="248" spans="1:7" x14ac:dyDescent="0.25">
      <c r="A248" s="9" t="s">
        <v>70</v>
      </c>
      <c r="B248" s="9" t="s">
        <v>83</v>
      </c>
      <c r="C248" s="9">
        <v>22</v>
      </c>
      <c r="D248" s="9">
        <v>17</v>
      </c>
      <c r="E248" s="9">
        <v>5</v>
      </c>
      <c r="F248" s="26">
        <v>0.77272727272727271</v>
      </c>
      <c r="G248" s="27">
        <v>0.22727272727272727</v>
      </c>
    </row>
    <row r="249" spans="1:7" x14ac:dyDescent="0.25">
      <c r="A249" s="9" t="s">
        <v>70</v>
      </c>
      <c r="B249" s="9" t="s">
        <v>84</v>
      </c>
      <c r="C249" s="9">
        <v>22</v>
      </c>
      <c r="D249" s="9">
        <v>19</v>
      </c>
      <c r="E249" s="9">
        <v>3</v>
      </c>
      <c r="F249" s="26">
        <v>0.86363636363636365</v>
      </c>
      <c r="G249" s="27">
        <v>0.13636363636363635</v>
      </c>
    </row>
    <row r="250" spans="1:7" x14ac:dyDescent="0.25">
      <c r="A250" s="9" t="s">
        <v>70</v>
      </c>
      <c r="B250" s="9" t="s">
        <v>85</v>
      </c>
      <c r="C250" s="9">
        <v>22</v>
      </c>
      <c r="D250" s="9">
        <v>16</v>
      </c>
      <c r="E250" s="9">
        <v>6</v>
      </c>
      <c r="F250" s="26">
        <v>0.72727272727272729</v>
      </c>
      <c r="G250" s="27">
        <v>0.27272727272727271</v>
      </c>
    </row>
    <row r="251" spans="1:7" x14ac:dyDescent="0.25">
      <c r="A251" s="9" t="s">
        <v>70</v>
      </c>
      <c r="B251" s="9" t="s">
        <v>86</v>
      </c>
      <c r="C251" s="9">
        <v>22</v>
      </c>
      <c r="D251" s="9">
        <v>16</v>
      </c>
      <c r="E251" s="9">
        <v>6</v>
      </c>
      <c r="F251" s="26">
        <v>0.72727272727272729</v>
      </c>
      <c r="G251" s="27">
        <v>0.27272727272727271</v>
      </c>
    </row>
    <row r="252" spans="1:7" x14ac:dyDescent="0.25">
      <c r="A252" s="9" t="s">
        <v>70</v>
      </c>
      <c r="B252" s="9" t="s">
        <v>87</v>
      </c>
      <c r="C252" s="9">
        <v>22</v>
      </c>
      <c r="D252" s="9">
        <v>18</v>
      </c>
      <c r="E252" s="9">
        <v>4</v>
      </c>
      <c r="F252" s="26">
        <v>0.81818181818181823</v>
      </c>
      <c r="G252" s="27">
        <v>0.18181818181818182</v>
      </c>
    </row>
    <row r="253" spans="1:7" x14ac:dyDescent="0.25">
      <c r="A253" s="9" t="s">
        <v>70</v>
      </c>
      <c r="B253" s="9" t="s">
        <v>88</v>
      </c>
      <c r="C253" s="9">
        <v>22</v>
      </c>
      <c r="D253" s="9">
        <v>22</v>
      </c>
      <c r="E253" s="9">
        <v>0</v>
      </c>
      <c r="F253" s="26">
        <v>1</v>
      </c>
      <c r="G253" s="27">
        <v>0</v>
      </c>
    </row>
    <row r="254" spans="1:7" x14ac:dyDescent="0.25">
      <c r="A254" s="9" t="s">
        <v>71</v>
      </c>
      <c r="B254" s="9" t="s">
        <v>83</v>
      </c>
      <c r="C254" s="9">
        <v>22</v>
      </c>
      <c r="D254" s="9">
        <v>18</v>
      </c>
      <c r="E254" s="9">
        <v>4</v>
      </c>
      <c r="F254" s="26">
        <v>0.81818181818181823</v>
      </c>
      <c r="G254" s="27">
        <v>0.18181818181818182</v>
      </c>
    </row>
    <row r="255" spans="1:7" x14ac:dyDescent="0.25">
      <c r="A255" s="9" t="s">
        <v>71</v>
      </c>
      <c r="B255" s="9" t="s">
        <v>84</v>
      </c>
      <c r="C255" s="9">
        <v>22</v>
      </c>
      <c r="D255" s="9">
        <v>22</v>
      </c>
      <c r="E255" s="9">
        <v>0</v>
      </c>
      <c r="F255" s="26">
        <v>1</v>
      </c>
      <c r="G255" s="27">
        <v>0</v>
      </c>
    </row>
    <row r="256" spans="1:7" x14ac:dyDescent="0.25">
      <c r="A256" s="9" t="s">
        <v>71</v>
      </c>
      <c r="B256" s="9" t="s">
        <v>85</v>
      </c>
      <c r="C256" s="9">
        <v>22</v>
      </c>
      <c r="D256" s="9">
        <v>18</v>
      </c>
      <c r="E256" s="9">
        <v>4</v>
      </c>
      <c r="F256" s="26">
        <v>0.81818181818181823</v>
      </c>
      <c r="G256" s="27">
        <v>0.18181818181818182</v>
      </c>
    </row>
    <row r="257" spans="1:7" x14ac:dyDescent="0.25">
      <c r="A257" s="9" t="s">
        <v>71</v>
      </c>
      <c r="B257" s="9" t="s">
        <v>86</v>
      </c>
      <c r="C257" s="9">
        <v>22</v>
      </c>
      <c r="D257" s="9">
        <v>20</v>
      </c>
      <c r="E257" s="9">
        <v>2</v>
      </c>
      <c r="F257" s="26">
        <v>0.90909090909090906</v>
      </c>
      <c r="G257" s="27">
        <v>9.0909090909090912E-2</v>
      </c>
    </row>
    <row r="258" spans="1:7" x14ac:dyDescent="0.25">
      <c r="A258" s="9" t="s">
        <v>71</v>
      </c>
      <c r="B258" s="9" t="s">
        <v>87</v>
      </c>
      <c r="C258" s="9">
        <v>22</v>
      </c>
      <c r="D258" s="9">
        <v>20</v>
      </c>
      <c r="E258" s="9">
        <v>2</v>
      </c>
      <c r="F258" s="26">
        <v>0.90909090909090906</v>
      </c>
      <c r="G258" s="27">
        <v>9.0909090909090912E-2</v>
      </c>
    </row>
    <row r="259" spans="1:7" x14ac:dyDescent="0.25">
      <c r="A259" s="9" t="s">
        <v>71</v>
      </c>
      <c r="B259" s="9" t="s">
        <v>88</v>
      </c>
      <c r="C259" s="9">
        <v>22</v>
      </c>
      <c r="D259" s="9">
        <v>18</v>
      </c>
      <c r="E259" s="9">
        <v>4</v>
      </c>
      <c r="F259" s="26">
        <v>0.81818181818181823</v>
      </c>
      <c r="G259" s="27">
        <v>0.18181818181818182</v>
      </c>
    </row>
    <row r="260" spans="1:7" x14ac:dyDescent="0.25">
      <c r="A260" s="9" t="s">
        <v>72</v>
      </c>
      <c r="B260" s="9" t="s">
        <v>83</v>
      </c>
      <c r="C260" s="9">
        <v>22</v>
      </c>
      <c r="D260" s="9">
        <v>18</v>
      </c>
      <c r="E260" s="9">
        <v>4</v>
      </c>
      <c r="F260" s="26">
        <v>0.81818181818181823</v>
      </c>
      <c r="G260" s="27">
        <v>0.18181818181818182</v>
      </c>
    </row>
    <row r="261" spans="1:7" x14ac:dyDescent="0.25">
      <c r="A261" s="9" t="s">
        <v>72</v>
      </c>
      <c r="B261" s="9" t="s">
        <v>84</v>
      </c>
      <c r="C261" s="9">
        <v>22</v>
      </c>
      <c r="D261" s="9">
        <v>17</v>
      </c>
      <c r="E261" s="9">
        <v>5</v>
      </c>
      <c r="F261" s="26">
        <v>0.77272727272727271</v>
      </c>
      <c r="G261" s="27">
        <v>0.22727272727272727</v>
      </c>
    </row>
    <row r="262" spans="1:7" x14ac:dyDescent="0.25">
      <c r="A262" s="9" t="s">
        <v>72</v>
      </c>
      <c r="B262" s="9" t="s">
        <v>85</v>
      </c>
      <c r="C262" s="9">
        <v>22</v>
      </c>
      <c r="D262" s="9">
        <v>17</v>
      </c>
      <c r="E262" s="9">
        <v>5</v>
      </c>
      <c r="F262" s="26">
        <v>0.77272727272727271</v>
      </c>
      <c r="G262" s="27">
        <v>0.22727272727272727</v>
      </c>
    </row>
    <row r="263" spans="1:7" x14ac:dyDescent="0.25">
      <c r="A263" s="9" t="s">
        <v>72</v>
      </c>
      <c r="B263" s="9" t="s">
        <v>86</v>
      </c>
      <c r="C263" s="9">
        <v>22</v>
      </c>
      <c r="D263" s="9">
        <v>16</v>
      </c>
      <c r="E263" s="9">
        <v>6</v>
      </c>
      <c r="F263" s="26">
        <v>0.72727272727272729</v>
      </c>
      <c r="G263" s="27">
        <v>0.27272727272727271</v>
      </c>
    </row>
    <row r="264" spans="1:7" x14ac:dyDescent="0.25">
      <c r="A264" s="9" t="s">
        <v>72</v>
      </c>
      <c r="B264" s="9" t="s">
        <v>87</v>
      </c>
      <c r="C264" s="9">
        <v>22</v>
      </c>
      <c r="D264" s="9">
        <v>21</v>
      </c>
      <c r="E264" s="9">
        <v>1</v>
      </c>
      <c r="F264" s="26">
        <v>0.95454545454545459</v>
      </c>
      <c r="G264" s="27">
        <v>4.5454545454545456E-2</v>
      </c>
    </row>
    <row r="265" spans="1:7" x14ac:dyDescent="0.25">
      <c r="A265" s="9" t="s">
        <v>72</v>
      </c>
      <c r="B265" s="9" t="s">
        <v>88</v>
      </c>
      <c r="C265" s="9">
        <v>22</v>
      </c>
      <c r="D265" s="9">
        <v>19</v>
      </c>
      <c r="E265" s="9">
        <v>3</v>
      </c>
      <c r="F265" s="26">
        <v>0.86363636363636365</v>
      </c>
      <c r="G265" s="27">
        <v>0.13636363636363635</v>
      </c>
    </row>
    <row r="266" spans="1:7" x14ac:dyDescent="0.25">
      <c r="A266" s="9" t="s">
        <v>73</v>
      </c>
      <c r="B266" s="9" t="s">
        <v>83</v>
      </c>
      <c r="C266" s="9">
        <v>22</v>
      </c>
      <c r="D266" s="9">
        <v>21</v>
      </c>
      <c r="E266" s="9">
        <v>1</v>
      </c>
      <c r="F266" s="26">
        <v>0.95454545454545459</v>
      </c>
      <c r="G266" s="27">
        <v>4.5454545454545456E-2</v>
      </c>
    </row>
    <row r="267" spans="1:7" x14ac:dyDescent="0.25">
      <c r="A267" s="9" t="s">
        <v>73</v>
      </c>
      <c r="B267" s="9" t="s">
        <v>84</v>
      </c>
      <c r="C267" s="9">
        <v>22</v>
      </c>
      <c r="D267" s="9">
        <v>22</v>
      </c>
      <c r="E267" s="9">
        <v>0</v>
      </c>
      <c r="F267" s="26">
        <v>1</v>
      </c>
      <c r="G267" s="27">
        <v>0</v>
      </c>
    </row>
    <row r="268" spans="1:7" x14ac:dyDescent="0.25">
      <c r="A268" s="9" t="s">
        <v>73</v>
      </c>
      <c r="B268" s="9" t="s">
        <v>85</v>
      </c>
      <c r="C268" s="9">
        <v>22</v>
      </c>
      <c r="D268" s="9">
        <v>22</v>
      </c>
      <c r="E268" s="9">
        <v>0</v>
      </c>
      <c r="F268" s="26">
        <v>1</v>
      </c>
      <c r="G268" s="27">
        <v>0</v>
      </c>
    </row>
    <row r="269" spans="1:7" x14ac:dyDescent="0.25">
      <c r="A269" s="9" t="s">
        <v>73</v>
      </c>
      <c r="B269" s="9" t="s">
        <v>86</v>
      </c>
      <c r="C269" s="9">
        <v>22</v>
      </c>
      <c r="D269" s="9">
        <v>21</v>
      </c>
      <c r="E269" s="9">
        <v>1</v>
      </c>
      <c r="F269" s="26">
        <v>0.95454545454545459</v>
      </c>
      <c r="G269" s="27">
        <v>4.5454545454545456E-2</v>
      </c>
    </row>
    <row r="270" spans="1:7" x14ac:dyDescent="0.25">
      <c r="A270" s="9" t="s">
        <v>73</v>
      </c>
      <c r="B270" s="9" t="s">
        <v>87</v>
      </c>
      <c r="C270" s="9">
        <v>22</v>
      </c>
      <c r="D270" s="9">
        <v>17</v>
      </c>
      <c r="E270" s="9">
        <v>5</v>
      </c>
      <c r="F270" s="26">
        <v>0.77272727272727271</v>
      </c>
      <c r="G270" s="27">
        <v>0.22727272727272727</v>
      </c>
    </row>
    <row r="271" spans="1:7" x14ac:dyDescent="0.25">
      <c r="A271" s="9" t="s">
        <v>73</v>
      </c>
      <c r="B271" s="9" t="s">
        <v>88</v>
      </c>
      <c r="C271" s="9">
        <v>22</v>
      </c>
      <c r="D271" s="9">
        <v>18</v>
      </c>
      <c r="E271" s="9">
        <v>4</v>
      </c>
      <c r="F271" s="26">
        <v>0.81818181818181823</v>
      </c>
      <c r="G271" s="27">
        <v>0.18181818181818182</v>
      </c>
    </row>
    <row r="272" spans="1:7" x14ac:dyDescent="0.25">
      <c r="A272" s="9" t="s">
        <v>74</v>
      </c>
      <c r="B272" s="9" t="s">
        <v>83</v>
      </c>
      <c r="C272" s="9">
        <v>22</v>
      </c>
      <c r="D272" s="9">
        <v>21</v>
      </c>
      <c r="E272" s="9">
        <v>1</v>
      </c>
      <c r="F272" s="26">
        <v>0.95454545454545459</v>
      </c>
      <c r="G272" s="27">
        <v>4.5454545454545456E-2</v>
      </c>
    </row>
    <row r="273" spans="1:7" x14ac:dyDescent="0.25">
      <c r="A273" s="9" t="s">
        <v>74</v>
      </c>
      <c r="B273" s="9" t="s">
        <v>84</v>
      </c>
      <c r="C273" s="9">
        <v>22</v>
      </c>
      <c r="D273" s="9">
        <v>20</v>
      </c>
      <c r="E273" s="9">
        <v>2</v>
      </c>
      <c r="F273" s="26">
        <v>0.90909090909090906</v>
      </c>
      <c r="G273" s="27">
        <v>9.0909090909090912E-2</v>
      </c>
    </row>
    <row r="274" spans="1:7" x14ac:dyDescent="0.25">
      <c r="A274" s="9" t="s">
        <v>74</v>
      </c>
      <c r="B274" s="9" t="s">
        <v>85</v>
      </c>
      <c r="C274" s="9">
        <v>22</v>
      </c>
      <c r="D274" s="9">
        <v>20</v>
      </c>
      <c r="E274" s="9">
        <v>2</v>
      </c>
      <c r="F274" s="26">
        <v>0.90909090909090906</v>
      </c>
      <c r="G274" s="27">
        <v>9.0909090909090912E-2</v>
      </c>
    </row>
    <row r="275" spans="1:7" x14ac:dyDescent="0.25">
      <c r="A275" s="9" t="s">
        <v>74</v>
      </c>
      <c r="B275" s="9" t="s">
        <v>86</v>
      </c>
      <c r="C275" s="9">
        <v>22</v>
      </c>
      <c r="D275" s="9">
        <v>19</v>
      </c>
      <c r="E275" s="9">
        <v>3</v>
      </c>
      <c r="F275" s="26">
        <v>0.86363636363636365</v>
      </c>
      <c r="G275" s="27">
        <v>0.13636363636363635</v>
      </c>
    </row>
    <row r="276" spans="1:7" x14ac:dyDescent="0.25">
      <c r="A276" s="9" t="s">
        <v>74</v>
      </c>
      <c r="B276" s="9" t="s">
        <v>87</v>
      </c>
      <c r="C276" s="9">
        <v>22</v>
      </c>
      <c r="D276" s="9">
        <v>22</v>
      </c>
      <c r="E276" s="9">
        <v>0</v>
      </c>
      <c r="F276" s="26">
        <v>1</v>
      </c>
      <c r="G276" s="27">
        <v>0</v>
      </c>
    </row>
    <row r="277" spans="1:7" x14ac:dyDescent="0.25">
      <c r="A277" s="9" t="s">
        <v>74</v>
      </c>
      <c r="B277" s="9" t="s">
        <v>88</v>
      </c>
      <c r="C277" s="9">
        <v>22</v>
      </c>
      <c r="D277" s="9">
        <v>22</v>
      </c>
      <c r="E277" s="9">
        <v>0</v>
      </c>
      <c r="F277" s="26">
        <v>1</v>
      </c>
      <c r="G277" s="27">
        <v>0</v>
      </c>
    </row>
    <row r="278" spans="1:7" x14ac:dyDescent="0.25">
      <c r="A278" s="9" t="s">
        <v>75</v>
      </c>
      <c r="B278" s="9" t="s">
        <v>83</v>
      </c>
      <c r="C278" s="9">
        <v>22</v>
      </c>
      <c r="D278" s="9">
        <v>17</v>
      </c>
      <c r="E278" s="9">
        <v>5</v>
      </c>
      <c r="F278" s="26">
        <v>0.77272727272727271</v>
      </c>
      <c r="G278" s="27">
        <v>0.22727272727272727</v>
      </c>
    </row>
    <row r="279" spans="1:7" x14ac:dyDescent="0.25">
      <c r="A279" s="9" t="s">
        <v>75</v>
      </c>
      <c r="B279" s="9" t="s">
        <v>84</v>
      </c>
      <c r="C279" s="9">
        <v>22</v>
      </c>
      <c r="D279" s="9">
        <v>22</v>
      </c>
      <c r="E279" s="9">
        <v>0</v>
      </c>
      <c r="F279" s="26">
        <v>1</v>
      </c>
      <c r="G279" s="27">
        <v>0</v>
      </c>
    </row>
    <row r="280" spans="1:7" x14ac:dyDescent="0.25">
      <c r="A280" s="9" t="s">
        <v>75</v>
      </c>
      <c r="B280" s="9" t="s">
        <v>85</v>
      </c>
      <c r="C280" s="9">
        <v>22</v>
      </c>
      <c r="D280" s="9">
        <v>19</v>
      </c>
      <c r="E280" s="9">
        <v>3</v>
      </c>
      <c r="F280" s="26">
        <v>0.86363636363636365</v>
      </c>
      <c r="G280" s="27">
        <v>0.13636363636363635</v>
      </c>
    </row>
    <row r="281" spans="1:7" x14ac:dyDescent="0.25">
      <c r="A281" s="9" t="s">
        <v>75</v>
      </c>
      <c r="B281" s="9" t="s">
        <v>86</v>
      </c>
      <c r="C281" s="9">
        <v>22</v>
      </c>
      <c r="D281" s="9">
        <v>16</v>
      </c>
      <c r="E281" s="9">
        <v>6</v>
      </c>
      <c r="F281" s="26">
        <v>0.72727272727272729</v>
      </c>
      <c r="G281" s="27">
        <v>0.27272727272727271</v>
      </c>
    </row>
    <row r="282" spans="1:7" x14ac:dyDescent="0.25">
      <c r="A282" s="9" t="s">
        <v>75</v>
      </c>
      <c r="B282" s="9" t="s">
        <v>87</v>
      </c>
      <c r="C282" s="9">
        <v>22</v>
      </c>
      <c r="D282" s="9">
        <v>18</v>
      </c>
      <c r="E282" s="9">
        <v>4</v>
      </c>
      <c r="F282" s="26">
        <v>0.81818181818181823</v>
      </c>
      <c r="G282" s="27">
        <v>0.18181818181818182</v>
      </c>
    </row>
    <row r="283" spans="1:7" x14ac:dyDescent="0.25">
      <c r="A283" s="9" t="s">
        <v>75</v>
      </c>
      <c r="B283" s="9" t="s">
        <v>88</v>
      </c>
      <c r="C283" s="9">
        <v>22</v>
      </c>
      <c r="D283" s="9">
        <v>16</v>
      </c>
      <c r="E283" s="9">
        <v>6</v>
      </c>
      <c r="F283" s="26">
        <v>0.72727272727272729</v>
      </c>
      <c r="G283" s="27">
        <v>0.27272727272727271</v>
      </c>
    </row>
    <row r="284" spans="1:7" x14ac:dyDescent="0.25">
      <c r="A284" s="9" t="s">
        <v>76</v>
      </c>
      <c r="B284" s="9" t="s">
        <v>83</v>
      </c>
      <c r="C284" s="9">
        <v>22</v>
      </c>
      <c r="D284" s="9">
        <v>22</v>
      </c>
      <c r="E284" s="9">
        <v>0</v>
      </c>
      <c r="F284" s="26">
        <v>1</v>
      </c>
      <c r="G284" s="27">
        <v>0</v>
      </c>
    </row>
    <row r="285" spans="1:7" x14ac:dyDescent="0.25">
      <c r="A285" s="9" t="s">
        <v>76</v>
      </c>
      <c r="B285" s="9" t="s">
        <v>84</v>
      </c>
      <c r="C285" s="9">
        <v>22</v>
      </c>
      <c r="D285" s="9">
        <v>20</v>
      </c>
      <c r="E285" s="9">
        <v>2</v>
      </c>
      <c r="F285" s="26">
        <v>0.90909090909090906</v>
      </c>
      <c r="G285" s="27">
        <v>9.0909090909090912E-2</v>
      </c>
    </row>
    <row r="286" spans="1:7" x14ac:dyDescent="0.25">
      <c r="A286" s="9" t="s">
        <v>76</v>
      </c>
      <c r="B286" s="9" t="s">
        <v>85</v>
      </c>
      <c r="C286" s="9">
        <v>22</v>
      </c>
      <c r="D286" s="9">
        <v>18</v>
      </c>
      <c r="E286" s="9">
        <v>4</v>
      </c>
      <c r="F286" s="26">
        <v>0.81818181818181823</v>
      </c>
      <c r="G286" s="27">
        <v>0.18181818181818182</v>
      </c>
    </row>
    <row r="287" spans="1:7" x14ac:dyDescent="0.25">
      <c r="A287" s="9" t="s">
        <v>76</v>
      </c>
      <c r="B287" s="9" t="s">
        <v>86</v>
      </c>
      <c r="C287" s="9">
        <v>22</v>
      </c>
      <c r="D287" s="9">
        <v>22</v>
      </c>
      <c r="E287" s="9">
        <v>0</v>
      </c>
      <c r="F287" s="26">
        <v>1</v>
      </c>
      <c r="G287" s="27">
        <v>0</v>
      </c>
    </row>
    <row r="288" spans="1:7" x14ac:dyDescent="0.25">
      <c r="A288" s="9" t="s">
        <v>76</v>
      </c>
      <c r="B288" s="9" t="s">
        <v>87</v>
      </c>
      <c r="C288" s="9">
        <v>22</v>
      </c>
      <c r="D288" s="9">
        <v>22</v>
      </c>
      <c r="E288" s="9">
        <v>0</v>
      </c>
      <c r="F288" s="26">
        <v>1</v>
      </c>
      <c r="G288" s="27">
        <v>0</v>
      </c>
    </row>
    <row r="289" spans="1:7" x14ac:dyDescent="0.25">
      <c r="A289" s="9" t="s">
        <v>76</v>
      </c>
      <c r="B289" s="9" t="s">
        <v>88</v>
      </c>
      <c r="C289" s="9">
        <v>22</v>
      </c>
      <c r="D289" s="9">
        <v>21</v>
      </c>
      <c r="E289" s="9">
        <v>1</v>
      </c>
      <c r="F289" s="26">
        <v>0.95454545454545459</v>
      </c>
      <c r="G289" s="27">
        <v>4.5454545454545456E-2</v>
      </c>
    </row>
    <row r="290" spans="1:7" x14ac:dyDescent="0.25">
      <c r="A290" s="9" t="s">
        <v>77</v>
      </c>
      <c r="B290" s="9" t="s">
        <v>83</v>
      </c>
      <c r="C290" s="9">
        <v>22</v>
      </c>
      <c r="D290" s="9">
        <v>22</v>
      </c>
      <c r="E290" s="9">
        <v>0</v>
      </c>
      <c r="F290" s="26">
        <v>1</v>
      </c>
      <c r="G290" s="27">
        <v>0</v>
      </c>
    </row>
    <row r="291" spans="1:7" x14ac:dyDescent="0.25">
      <c r="A291" s="9" t="s">
        <v>77</v>
      </c>
      <c r="B291" s="9" t="s">
        <v>84</v>
      </c>
      <c r="C291" s="9">
        <v>22</v>
      </c>
      <c r="D291" s="9">
        <v>20</v>
      </c>
      <c r="E291" s="9">
        <v>2</v>
      </c>
      <c r="F291" s="26">
        <v>0.90909090909090906</v>
      </c>
      <c r="G291" s="27">
        <v>9.0909090909090912E-2</v>
      </c>
    </row>
    <row r="292" spans="1:7" x14ac:dyDescent="0.25">
      <c r="A292" s="9" t="s">
        <v>77</v>
      </c>
      <c r="B292" s="9" t="s">
        <v>85</v>
      </c>
      <c r="C292" s="9">
        <v>22</v>
      </c>
      <c r="D292" s="9">
        <v>18</v>
      </c>
      <c r="E292" s="9">
        <v>4</v>
      </c>
      <c r="F292" s="26">
        <v>0.81818181818181823</v>
      </c>
      <c r="G292" s="27">
        <v>0.18181818181818182</v>
      </c>
    </row>
    <row r="293" spans="1:7" x14ac:dyDescent="0.25">
      <c r="A293" s="9" t="s">
        <v>77</v>
      </c>
      <c r="B293" s="9" t="s">
        <v>86</v>
      </c>
      <c r="C293" s="9">
        <v>22</v>
      </c>
      <c r="D293" s="9">
        <v>18</v>
      </c>
      <c r="E293" s="9">
        <v>4</v>
      </c>
      <c r="F293" s="26">
        <v>0.81818181818181823</v>
      </c>
      <c r="G293" s="27">
        <v>0.18181818181818182</v>
      </c>
    </row>
    <row r="294" spans="1:7" x14ac:dyDescent="0.25">
      <c r="A294" s="9" t="s">
        <v>77</v>
      </c>
      <c r="B294" s="9" t="s">
        <v>87</v>
      </c>
      <c r="C294" s="9">
        <v>22</v>
      </c>
      <c r="D294" s="9">
        <v>20</v>
      </c>
      <c r="E294" s="9">
        <v>2</v>
      </c>
      <c r="F294" s="26">
        <v>0.90909090909090906</v>
      </c>
      <c r="G294" s="27">
        <v>9.0909090909090912E-2</v>
      </c>
    </row>
    <row r="295" spans="1:7" x14ac:dyDescent="0.25">
      <c r="A295" s="9" t="s">
        <v>77</v>
      </c>
      <c r="B295" s="9" t="s">
        <v>88</v>
      </c>
      <c r="C295" s="9">
        <v>22</v>
      </c>
      <c r="D295" s="9">
        <v>20</v>
      </c>
      <c r="E295" s="9">
        <v>2</v>
      </c>
      <c r="F295" s="26">
        <v>0.90909090909090906</v>
      </c>
      <c r="G295" s="27">
        <v>9.0909090909090912E-2</v>
      </c>
    </row>
    <row r="296" spans="1:7" x14ac:dyDescent="0.25">
      <c r="A296" s="9" t="s">
        <v>78</v>
      </c>
      <c r="B296" s="9" t="s">
        <v>83</v>
      </c>
      <c r="C296" s="9">
        <v>22</v>
      </c>
      <c r="D296" s="9">
        <v>17</v>
      </c>
      <c r="E296" s="9">
        <v>5</v>
      </c>
      <c r="F296" s="26">
        <v>0.77272727272727271</v>
      </c>
      <c r="G296" s="27">
        <v>0.22727272727272727</v>
      </c>
    </row>
    <row r="297" spans="1:7" x14ac:dyDescent="0.25">
      <c r="A297" s="9" t="s">
        <v>78</v>
      </c>
      <c r="B297" s="9" t="s">
        <v>84</v>
      </c>
      <c r="C297" s="9">
        <v>22</v>
      </c>
      <c r="D297" s="9">
        <v>21</v>
      </c>
      <c r="E297" s="9">
        <v>1</v>
      </c>
      <c r="F297" s="26">
        <v>0.95454545454545459</v>
      </c>
      <c r="G297" s="27">
        <v>4.5454545454545456E-2</v>
      </c>
    </row>
    <row r="298" spans="1:7" x14ac:dyDescent="0.25">
      <c r="A298" s="9" t="s">
        <v>78</v>
      </c>
      <c r="B298" s="9" t="s">
        <v>85</v>
      </c>
      <c r="C298" s="9">
        <v>22</v>
      </c>
      <c r="D298" s="9">
        <v>16</v>
      </c>
      <c r="E298" s="9">
        <v>6</v>
      </c>
      <c r="F298" s="26">
        <v>0.72727272727272729</v>
      </c>
      <c r="G298" s="27">
        <v>0.27272727272727271</v>
      </c>
    </row>
    <row r="299" spans="1:7" x14ac:dyDescent="0.25">
      <c r="A299" s="9" t="s">
        <v>78</v>
      </c>
      <c r="B299" s="9" t="s">
        <v>86</v>
      </c>
      <c r="C299" s="9">
        <v>22</v>
      </c>
      <c r="D299" s="9">
        <v>19</v>
      </c>
      <c r="E299" s="9">
        <v>3</v>
      </c>
      <c r="F299" s="26">
        <v>0.86363636363636365</v>
      </c>
      <c r="G299" s="27">
        <v>0.13636363636363635</v>
      </c>
    </row>
    <row r="300" spans="1:7" x14ac:dyDescent="0.25">
      <c r="A300" s="9" t="s">
        <v>78</v>
      </c>
      <c r="B300" s="9" t="s">
        <v>87</v>
      </c>
      <c r="C300" s="9">
        <v>22</v>
      </c>
      <c r="D300" s="9">
        <v>16</v>
      </c>
      <c r="E300" s="9">
        <v>6</v>
      </c>
      <c r="F300" s="26">
        <v>0.72727272727272729</v>
      </c>
      <c r="G300" s="27">
        <v>0.27272727272727271</v>
      </c>
    </row>
    <row r="301" spans="1:7" x14ac:dyDescent="0.25">
      <c r="A301" s="9" t="s">
        <v>78</v>
      </c>
      <c r="B301" s="9" t="s">
        <v>88</v>
      </c>
      <c r="C301" s="9">
        <v>22</v>
      </c>
      <c r="D301" s="9">
        <v>22</v>
      </c>
      <c r="E301" s="9">
        <v>0</v>
      </c>
      <c r="F301" s="26">
        <v>1</v>
      </c>
      <c r="G301" s="27">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1"/>
  <sheetViews>
    <sheetView tabSelected="1" workbookViewId="0">
      <selection sqref="A1:A1048576"/>
    </sheetView>
  </sheetViews>
  <sheetFormatPr defaultRowHeight="15" x14ac:dyDescent="0.25"/>
  <cols>
    <col min="3" max="3" width="14.85546875" bestFit="1" customWidth="1"/>
    <col min="4" max="4" width="16.7109375" bestFit="1" customWidth="1"/>
    <col min="5" max="5" width="14.140625" bestFit="1" customWidth="1"/>
    <col min="6" max="6" width="12" style="3" customWidth="1"/>
    <col min="7" max="7" width="9.140625" style="28"/>
  </cols>
  <sheetData>
    <row r="1" spans="1:7" x14ac:dyDescent="0.25">
      <c r="A1" s="9" t="s">
        <v>0</v>
      </c>
      <c r="B1" s="9" t="s">
        <v>79</v>
      </c>
      <c r="C1" s="9" t="s">
        <v>89</v>
      </c>
      <c r="D1" s="9" t="s">
        <v>90</v>
      </c>
      <c r="E1" s="9" t="s">
        <v>91</v>
      </c>
      <c r="F1" s="25" t="s">
        <v>152</v>
      </c>
      <c r="G1" s="10" t="s">
        <v>95</v>
      </c>
    </row>
    <row r="2" spans="1:7" x14ac:dyDescent="0.25">
      <c r="A2" s="9" t="s">
        <v>8</v>
      </c>
      <c r="B2" s="9" t="s">
        <v>83</v>
      </c>
      <c r="C2" s="9">
        <v>39</v>
      </c>
      <c r="D2" s="9">
        <v>34</v>
      </c>
      <c r="E2" s="9">
        <v>3</v>
      </c>
      <c r="F2" s="26">
        <v>0.87179487179487181</v>
      </c>
      <c r="G2" s="24">
        <v>8.8235294117647065E-2</v>
      </c>
    </row>
    <row r="3" spans="1:7" x14ac:dyDescent="0.25">
      <c r="A3" s="9" t="s">
        <v>8</v>
      </c>
      <c r="B3" s="9" t="s">
        <v>84</v>
      </c>
      <c r="C3" s="9">
        <v>73</v>
      </c>
      <c r="D3" s="9">
        <v>73</v>
      </c>
      <c r="E3" s="9">
        <v>0</v>
      </c>
      <c r="F3" s="26">
        <v>1</v>
      </c>
      <c r="G3" s="24">
        <v>0</v>
      </c>
    </row>
    <row r="4" spans="1:7" x14ac:dyDescent="0.25">
      <c r="A4" s="9" t="s">
        <v>8</v>
      </c>
      <c r="B4" s="9" t="s">
        <v>85</v>
      </c>
      <c r="C4" s="9">
        <v>62</v>
      </c>
      <c r="D4" s="9">
        <v>61</v>
      </c>
      <c r="E4" s="9">
        <v>3</v>
      </c>
      <c r="F4" s="26">
        <v>0.9838709677419355</v>
      </c>
      <c r="G4" s="24">
        <v>4.9180327868852458E-2</v>
      </c>
    </row>
    <row r="5" spans="1:7" x14ac:dyDescent="0.25">
      <c r="A5" s="9" t="s">
        <v>8</v>
      </c>
      <c r="B5" s="9" t="s">
        <v>86</v>
      </c>
      <c r="C5" s="9">
        <v>62</v>
      </c>
      <c r="D5" s="9">
        <v>61</v>
      </c>
      <c r="E5" s="9">
        <v>0</v>
      </c>
      <c r="F5" s="26">
        <v>0.9838709677419355</v>
      </c>
      <c r="G5" s="24">
        <v>0</v>
      </c>
    </row>
    <row r="6" spans="1:7" x14ac:dyDescent="0.25">
      <c r="A6" s="9" t="s">
        <v>8</v>
      </c>
      <c r="B6" s="9" t="s">
        <v>87</v>
      </c>
      <c r="C6" s="9">
        <v>59</v>
      </c>
      <c r="D6" s="9">
        <v>56</v>
      </c>
      <c r="E6" s="9">
        <v>4</v>
      </c>
      <c r="F6" s="26">
        <v>0.94915254237288138</v>
      </c>
      <c r="G6" s="24">
        <v>7.1428571428571425E-2</v>
      </c>
    </row>
    <row r="7" spans="1:7" x14ac:dyDescent="0.25">
      <c r="A7" s="9" t="s">
        <v>8</v>
      </c>
      <c r="B7" s="9" t="s">
        <v>88</v>
      </c>
      <c r="C7" s="9">
        <v>40</v>
      </c>
      <c r="D7" s="9">
        <v>36</v>
      </c>
      <c r="E7" s="9">
        <v>5</v>
      </c>
      <c r="F7" s="26">
        <v>0.9</v>
      </c>
      <c r="G7" s="24">
        <v>0.1388888888888889</v>
      </c>
    </row>
    <row r="8" spans="1:7" x14ac:dyDescent="0.25">
      <c r="A8" s="9" t="s">
        <v>13</v>
      </c>
      <c r="B8" s="9" t="s">
        <v>83</v>
      </c>
      <c r="C8" s="9">
        <v>52</v>
      </c>
      <c r="D8" s="9">
        <v>52</v>
      </c>
      <c r="E8" s="9">
        <v>3</v>
      </c>
      <c r="F8" s="26">
        <v>1</v>
      </c>
      <c r="G8" s="24">
        <v>5.7692307692307689E-2</v>
      </c>
    </row>
    <row r="9" spans="1:7" x14ac:dyDescent="0.25">
      <c r="A9" s="9" t="s">
        <v>13</v>
      </c>
      <c r="B9" s="9" t="s">
        <v>84</v>
      </c>
      <c r="C9" s="9">
        <v>59</v>
      </c>
      <c r="D9" s="9">
        <v>58</v>
      </c>
      <c r="E9" s="9">
        <v>5</v>
      </c>
      <c r="F9" s="26">
        <v>0.98305084745762716</v>
      </c>
      <c r="G9" s="24">
        <v>8.6206896551724144E-2</v>
      </c>
    </row>
    <row r="10" spans="1:7" x14ac:dyDescent="0.25">
      <c r="A10" s="9" t="s">
        <v>13</v>
      </c>
      <c r="B10" s="9" t="s">
        <v>85</v>
      </c>
      <c r="C10" s="9">
        <v>55</v>
      </c>
      <c r="D10" s="9">
        <v>52</v>
      </c>
      <c r="E10" s="9">
        <v>3</v>
      </c>
      <c r="F10" s="26">
        <v>0.94545454545454544</v>
      </c>
      <c r="G10" s="24">
        <v>5.7692307692307689E-2</v>
      </c>
    </row>
    <row r="11" spans="1:7" x14ac:dyDescent="0.25">
      <c r="A11" s="9" t="s">
        <v>13</v>
      </c>
      <c r="B11" s="9" t="s">
        <v>86</v>
      </c>
      <c r="C11" s="9">
        <v>77</v>
      </c>
      <c r="D11" s="9">
        <v>71</v>
      </c>
      <c r="E11" s="9">
        <v>5</v>
      </c>
      <c r="F11" s="26">
        <v>0.92207792207792205</v>
      </c>
      <c r="G11" s="24">
        <v>7.0422535211267609E-2</v>
      </c>
    </row>
    <row r="12" spans="1:7" x14ac:dyDescent="0.25">
      <c r="A12" s="9" t="s">
        <v>13</v>
      </c>
      <c r="B12" s="9" t="s">
        <v>87</v>
      </c>
      <c r="C12" s="9">
        <v>81</v>
      </c>
      <c r="D12" s="9">
        <v>75</v>
      </c>
      <c r="E12" s="9">
        <v>1</v>
      </c>
      <c r="F12" s="26">
        <v>0.92592592592592593</v>
      </c>
      <c r="G12" s="24">
        <v>1.3333333333333334E-2</v>
      </c>
    </row>
    <row r="13" spans="1:7" x14ac:dyDescent="0.25">
      <c r="A13" s="9" t="s">
        <v>13</v>
      </c>
      <c r="B13" s="9" t="s">
        <v>88</v>
      </c>
      <c r="C13" s="9">
        <v>84</v>
      </c>
      <c r="D13" s="9">
        <v>84</v>
      </c>
      <c r="E13" s="9">
        <v>0</v>
      </c>
      <c r="F13" s="26">
        <v>1</v>
      </c>
      <c r="G13" s="24">
        <v>0</v>
      </c>
    </row>
    <row r="14" spans="1:7" x14ac:dyDescent="0.25">
      <c r="A14" s="9" t="s">
        <v>18</v>
      </c>
      <c r="B14" s="9" t="s">
        <v>83</v>
      </c>
      <c r="C14" s="9">
        <v>52</v>
      </c>
      <c r="D14" s="9">
        <v>51</v>
      </c>
      <c r="E14" s="9">
        <v>3</v>
      </c>
      <c r="F14" s="26">
        <v>0.98076923076923062</v>
      </c>
      <c r="G14" s="24">
        <v>5.8823529411764698E-2</v>
      </c>
    </row>
    <row r="15" spans="1:7" x14ac:dyDescent="0.25">
      <c r="A15" s="9" t="s">
        <v>18</v>
      </c>
      <c r="B15" s="9" t="s">
        <v>84</v>
      </c>
      <c r="C15" s="9">
        <v>36</v>
      </c>
      <c r="D15" s="9">
        <v>31</v>
      </c>
      <c r="E15" s="9">
        <v>2</v>
      </c>
      <c r="F15" s="26">
        <v>0.86111111111111116</v>
      </c>
      <c r="G15" s="24">
        <v>6.4516129032258063E-2</v>
      </c>
    </row>
    <row r="16" spans="1:7" x14ac:dyDescent="0.25">
      <c r="A16" s="9" t="s">
        <v>18</v>
      </c>
      <c r="B16" s="9" t="s">
        <v>85</v>
      </c>
      <c r="C16" s="9">
        <v>50</v>
      </c>
      <c r="D16" s="9">
        <v>49</v>
      </c>
      <c r="E16" s="9">
        <v>3</v>
      </c>
      <c r="F16" s="26">
        <v>0.98</v>
      </c>
      <c r="G16" s="24">
        <v>6.1224489795918366E-2</v>
      </c>
    </row>
    <row r="17" spans="1:7" x14ac:dyDescent="0.25">
      <c r="A17" s="9" t="s">
        <v>18</v>
      </c>
      <c r="B17" s="9" t="s">
        <v>86</v>
      </c>
      <c r="C17" s="9">
        <v>64</v>
      </c>
      <c r="D17" s="9">
        <v>60</v>
      </c>
      <c r="E17" s="9">
        <v>4</v>
      </c>
      <c r="F17" s="26">
        <v>0.9375</v>
      </c>
      <c r="G17" s="24">
        <v>6.6666666666666666E-2</v>
      </c>
    </row>
    <row r="18" spans="1:7" x14ac:dyDescent="0.25">
      <c r="A18" s="9" t="s">
        <v>18</v>
      </c>
      <c r="B18" s="9" t="s">
        <v>87</v>
      </c>
      <c r="C18" s="9">
        <v>34</v>
      </c>
      <c r="D18" s="9">
        <v>29</v>
      </c>
      <c r="E18" s="9">
        <v>4</v>
      </c>
      <c r="F18" s="26">
        <v>0.85294117647058831</v>
      </c>
      <c r="G18" s="24">
        <v>0.13793103448275862</v>
      </c>
    </row>
    <row r="19" spans="1:7" x14ac:dyDescent="0.25">
      <c r="A19" s="9" t="s">
        <v>18</v>
      </c>
      <c r="B19" s="9" t="s">
        <v>88</v>
      </c>
      <c r="C19" s="9">
        <v>57</v>
      </c>
      <c r="D19" s="9">
        <v>52</v>
      </c>
      <c r="E19" s="9">
        <v>3</v>
      </c>
      <c r="F19" s="26">
        <v>0.91228070175438591</v>
      </c>
      <c r="G19" s="24">
        <v>5.7692307692307689E-2</v>
      </c>
    </row>
    <row r="20" spans="1:7" x14ac:dyDescent="0.25">
      <c r="A20" s="9" t="s">
        <v>22</v>
      </c>
      <c r="B20" s="9" t="s">
        <v>83</v>
      </c>
      <c r="C20" s="9">
        <v>45</v>
      </c>
      <c r="D20" s="9">
        <v>44</v>
      </c>
      <c r="E20" s="9">
        <v>0</v>
      </c>
      <c r="F20" s="26">
        <v>0.97777777777777775</v>
      </c>
      <c r="G20" s="24">
        <v>0</v>
      </c>
    </row>
    <row r="21" spans="1:7" x14ac:dyDescent="0.25">
      <c r="A21" s="9" t="s">
        <v>22</v>
      </c>
      <c r="B21" s="9" t="s">
        <v>84</v>
      </c>
      <c r="C21" s="9">
        <v>39</v>
      </c>
      <c r="D21" s="9">
        <v>34</v>
      </c>
      <c r="E21" s="9">
        <v>3</v>
      </c>
      <c r="F21" s="26">
        <v>0.87179487179487181</v>
      </c>
      <c r="G21" s="24">
        <v>8.8235294117647065E-2</v>
      </c>
    </row>
    <row r="22" spans="1:7" x14ac:dyDescent="0.25">
      <c r="A22" s="9" t="s">
        <v>22</v>
      </c>
      <c r="B22" s="9" t="s">
        <v>85</v>
      </c>
      <c r="C22" s="9">
        <v>80</v>
      </c>
      <c r="D22" s="9">
        <v>78</v>
      </c>
      <c r="E22" s="9">
        <v>2</v>
      </c>
      <c r="F22" s="26">
        <v>0.97499999999999998</v>
      </c>
      <c r="G22" s="24">
        <v>2.564102564102564E-2</v>
      </c>
    </row>
    <row r="23" spans="1:7" x14ac:dyDescent="0.25">
      <c r="A23" s="9" t="s">
        <v>22</v>
      </c>
      <c r="B23" s="9" t="s">
        <v>86</v>
      </c>
      <c r="C23" s="9">
        <v>60</v>
      </c>
      <c r="D23" s="9">
        <v>57</v>
      </c>
      <c r="E23" s="9">
        <v>2</v>
      </c>
      <c r="F23" s="26">
        <v>0.95</v>
      </c>
      <c r="G23" s="24">
        <v>3.5087719298245612E-2</v>
      </c>
    </row>
    <row r="24" spans="1:7" x14ac:dyDescent="0.25">
      <c r="A24" s="9" t="s">
        <v>22</v>
      </c>
      <c r="B24" s="9" t="s">
        <v>87</v>
      </c>
      <c r="C24" s="9">
        <v>58</v>
      </c>
      <c r="D24" s="9">
        <v>56</v>
      </c>
      <c r="E24" s="9">
        <v>5</v>
      </c>
      <c r="F24" s="26">
        <v>0.96551724137931028</v>
      </c>
      <c r="G24" s="24">
        <v>8.9285714285714288E-2</v>
      </c>
    </row>
    <row r="25" spans="1:7" x14ac:dyDescent="0.25">
      <c r="A25" s="9" t="s">
        <v>22</v>
      </c>
      <c r="B25" s="9" t="s">
        <v>88</v>
      </c>
      <c r="C25" s="9">
        <v>47</v>
      </c>
      <c r="D25" s="9">
        <v>42</v>
      </c>
      <c r="E25" s="9">
        <v>0</v>
      </c>
      <c r="F25" s="26">
        <v>0.8936170212765957</v>
      </c>
      <c r="G25" s="24">
        <v>0</v>
      </c>
    </row>
    <row r="26" spans="1:7" x14ac:dyDescent="0.25">
      <c r="A26" s="9" t="s">
        <v>26</v>
      </c>
      <c r="B26" s="9" t="s">
        <v>83</v>
      </c>
      <c r="C26" s="9">
        <v>41</v>
      </c>
      <c r="D26" s="9">
        <v>41</v>
      </c>
      <c r="E26" s="9">
        <v>0</v>
      </c>
      <c r="F26" s="26">
        <v>1</v>
      </c>
      <c r="G26" s="24">
        <v>0</v>
      </c>
    </row>
    <row r="27" spans="1:7" x14ac:dyDescent="0.25">
      <c r="A27" s="9" t="s">
        <v>26</v>
      </c>
      <c r="B27" s="9" t="s">
        <v>84</v>
      </c>
      <c r="C27" s="9">
        <v>83</v>
      </c>
      <c r="D27" s="9">
        <v>80</v>
      </c>
      <c r="E27" s="9">
        <v>0</v>
      </c>
      <c r="F27" s="26">
        <v>0.96385542168674698</v>
      </c>
      <c r="G27" s="24">
        <v>0</v>
      </c>
    </row>
    <row r="28" spans="1:7" x14ac:dyDescent="0.25">
      <c r="A28" s="9" t="s">
        <v>26</v>
      </c>
      <c r="B28" s="9" t="s">
        <v>85</v>
      </c>
      <c r="C28" s="9">
        <v>39</v>
      </c>
      <c r="D28" s="9">
        <v>35</v>
      </c>
      <c r="E28" s="9">
        <v>4</v>
      </c>
      <c r="F28" s="26">
        <v>0.89743589743589747</v>
      </c>
      <c r="G28" s="24">
        <v>0.11428571428571428</v>
      </c>
    </row>
    <row r="29" spans="1:7" x14ac:dyDescent="0.25">
      <c r="A29" s="9" t="s">
        <v>26</v>
      </c>
      <c r="B29" s="9" t="s">
        <v>86</v>
      </c>
      <c r="C29" s="9">
        <v>52</v>
      </c>
      <c r="D29" s="9">
        <v>51</v>
      </c>
      <c r="E29" s="9">
        <v>1</v>
      </c>
      <c r="F29" s="26">
        <v>0.98076923076923062</v>
      </c>
      <c r="G29" s="24">
        <v>1.9607843137254902E-2</v>
      </c>
    </row>
    <row r="30" spans="1:7" x14ac:dyDescent="0.25">
      <c r="A30" s="9" t="s">
        <v>26</v>
      </c>
      <c r="B30" s="9" t="s">
        <v>87</v>
      </c>
      <c r="C30" s="9">
        <v>54</v>
      </c>
      <c r="D30" s="9">
        <v>53</v>
      </c>
      <c r="E30" s="9">
        <v>4</v>
      </c>
      <c r="F30" s="26">
        <v>0.98148148148148151</v>
      </c>
      <c r="G30" s="24">
        <v>7.5471698113207544E-2</v>
      </c>
    </row>
    <row r="31" spans="1:7" x14ac:dyDescent="0.25">
      <c r="A31" s="9" t="s">
        <v>26</v>
      </c>
      <c r="B31" s="9" t="s">
        <v>88</v>
      </c>
      <c r="C31" s="9">
        <v>82</v>
      </c>
      <c r="D31" s="9">
        <v>76</v>
      </c>
      <c r="E31" s="9">
        <v>3</v>
      </c>
      <c r="F31" s="26">
        <v>0.92682926829268297</v>
      </c>
      <c r="G31" s="24">
        <v>3.9473684210526314E-2</v>
      </c>
    </row>
    <row r="32" spans="1:7" x14ac:dyDescent="0.25">
      <c r="A32" s="9" t="s">
        <v>27</v>
      </c>
      <c r="B32" s="9" t="s">
        <v>83</v>
      </c>
      <c r="C32" s="9">
        <v>32</v>
      </c>
      <c r="D32" s="9">
        <v>31</v>
      </c>
      <c r="E32" s="9">
        <v>1</v>
      </c>
      <c r="F32" s="26">
        <v>0.96875</v>
      </c>
      <c r="G32" s="24">
        <v>3.2258064516129031E-2</v>
      </c>
    </row>
    <row r="33" spans="1:7" x14ac:dyDescent="0.25">
      <c r="A33" s="9" t="s">
        <v>27</v>
      </c>
      <c r="B33" s="9" t="s">
        <v>84</v>
      </c>
      <c r="C33" s="9">
        <v>43</v>
      </c>
      <c r="D33" s="9">
        <v>38</v>
      </c>
      <c r="E33" s="9">
        <v>2</v>
      </c>
      <c r="F33" s="26">
        <v>0.88372093023255816</v>
      </c>
      <c r="G33" s="24">
        <v>5.2631578947368418E-2</v>
      </c>
    </row>
    <row r="34" spans="1:7" x14ac:dyDescent="0.25">
      <c r="A34" s="9" t="s">
        <v>27</v>
      </c>
      <c r="B34" s="9" t="s">
        <v>85</v>
      </c>
      <c r="C34" s="9">
        <v>33</v>
      </c>
      <c r="D34" s="9">
        <v>30</v>
      </c>
      <c r="E34" s="9">
        <v>4</v>
      </c>
      <c r="F34" s="26">
        <v>0.90909090909090906</v>
      </c>
      <c r="G34" s="24">
        <v>0.13333333333333333</v>
      </c>
    </row>
    <row r="35" spans="1:7" x14ac:dyDescent="0.25">
      <c r="A35" s="9" t="s">
        <v>27</v>
      </c>
      <c r="B35" s="9" t="s">
        <v>86</v>
      </c>
      <c r="C35" s="9">
        <v>62</v>
      </c>
      <c r="D35" s="9">
        <v>62</v>
      </c>
      <c r="E35" s="9">
        <v>0</v>
      </c>
      <c r="F35" s="26">
        <v>1</v>
      </c>
      <c r="G35" s="24">
        <v>0</v>
      </c>
    </row>
    <row r="36" spans="1:7" x14ac:dyDescent="0.25">
      <c r="A36" s="9" t="s">
        <v>27</v>
      </c>
      <c r="B36" s="9" t="s">
        <v>87</v>
      </c>
      <c r="C36" s="9">
        <v>63</v>
      </c>
      <c r="D36" s="9">
        <v>62</v>
      </c>
      <c r="E36" s="9">
        <v>2</v>
      </c>
      <c r="F36" s="26">
        <v>0.98412698412698407</v>
      </c>
      <c r="G36" s="24">
        <v>3.2258064516129031E-2</v>
      </c>
    </row>
    <row r="37" spans="1:7" x14ac:dyDescent="0.25">
      <c r="A37" s="9" t="s">
        <v>27</v>
      </c>
      <c r="B37" s="9" t="s">
        <v>88</v>
      </c>
      <c r="C37" s="9">
        <v>51</v>
      </c>
      <c r="D37" s="9">
        <v>51</v>
      </c>
      <c r="E37" s="9">
        <v>3</v>
      </c>
      <c r="F37" s="26">
        <v>1</v>
      </c>
      <c r="G37" s="24">
        <v>5.8823529411764698E-2</v>
      </c>
    </row>
    <row r="38" spans="1:7" x14ac:dyDescent="0.25">
      <c r="A38" s="9" t="s">
        <v>31</v>
      </c>
      <c r="B38" s="9" t="s">
        <v>83</v>
      </c>
      <c r="C38" s="9">
        <v>68</v>
      </c>
      <c r="D38" s="9">
        <v>63</v>
      </c>
      <c r="E38" s="9">
        <v>4</v>
      </c>
      <c r="F38" s="26">
        <v>0.92647058823529416</v>
      </c>
      <c r="G38" s="24">
        <v>6.3492063492063489E-2</v>
      </c>
    </row>
    <row r="39" spans="1:7" x14ac:dyDescent="0.25">
      <c r="A39" s="9" t="s">
        <v>31</v>
      </c>
      <c r="B39" s="9" t="s">
        <v>84</v>
      </c>
      <c r="C39" s="9">
        <v>68</v>
      </c>
      <c r="D39" s="9">
        <v>63</v>
      </c>
      <c r="E39" s="9">
        <v>3</v>
      </c>
      <c r="F39" s="26">
        <v>0.92647058823529416</v>
      </c>
      <c r="G39" s="24">
        <v>4.7619047619047616E-2</v>
      </c>
    </row>
    <row r="40" spans="1:7" x14ac:dyDescent="0.25">
      <c r="A40" s="9" t="s">
        <v>31</v>
      </c>
      <c r="B40" s="9" t="s">
        <v>85</v>
      </c>
      <c r="C40" s="9">
        <v>64</v>
      </c>
      <c r="D40" s="9">
        <v>63</v>
      </c>
      <c r="E40" s="9">
        <v>3</v>
      </c>
      <c r="F40" s="26">
        <v>0.984375</v>
      </c>
      <c r="G40" s="24">
        <v>4.7619047619047616E-2</v>
      </c>
    </row>
    <row r="41" spans="1:7" x14ac:dyDescent="0.25">
      <c r="A41" s="9" t="s">
        <v>31</v>
      </c>
      <c r="B41" s="9" t="s">
        <v>86</v>
      </c>
      <c r="C41" s="9">
        <v>49</v>
      </c>
      <c r="D41" s="9">
        <v>48</v>
      </c>
      <c r="E41" s="9">
        <v>3</v>
      </c>
      <c r="F41" s="26">
        <v>0.97959183673469385</v>
      </c>
      <c r="G41" s="24">
        <v>6.25E-2</v>
      </c>
    </row>
    <row r="42" spans="1:7" x14ac:dyDescent="0.25">
      <c r="A42" s="9" t="s">
        <v>31</v>
      </c>
      <c r="B42" s="9" t="s">
        <v>87</v>
      </c>
      <c r="C42" s="9">
        <v>45</v>
      </c>
      <c r="D42" s="9">
        <v>42</v>
      </c>
      <c r="E42" s="9">
        <v>0</v>
      </c>
      <c r="F42" s="26">
        <v>0.93333333333333324</v>
      </c>
      <c r="G42" s="24">
        <v>0</v>
      </c>
    </row>
    <row r="43" spans="1:7" x14ac:dyDescent="0.25">
      <c r="A43" s="9" t="s">
        <v>31</v>
      </c>
      <c r="B43" s="9" t="s">
        <v>88</v>
      </c>
      <c r="C43" s="9">
        <v>79</v>
      </c>
      <c r="D43" s="9">
        <v>77</v>
      </c>
      <c r="E43" s="9">
        <v>4</v>
      </c>
      <c r="F43" s="26">
        <v>0.97468354430379744</v>
      </c>
      <c r="G43" s="24">
        <v>5.1948051948051945E-2</v>
      </c>
    </row>
    <row r="44" spans="1:7" x14ac:dyDescent="0.25">
      <c r="A44" s="9" t="s">
        <v>32</v>
      </c>
      <c r="B44" s="9" t="s">
        <v>83</v>
      </c>
      <c r="C44" s="9">
        <v>37</v>
      </c>
      <c r="D44" s="9">
        <v>33</v>
      </c>
      <c r="E44" s="9">
        <v>0</v>
      </c>
      <c r="F44" s="26">
        <v>0.89189189189189189</v>
      </c>
      <c r="G44" s="24">
        <v>0</v>
      </c>
    </row>
    <row r="45" spans="1:7" x14ac:dyDescent="0.25">
      <c r="A45" s="9" t="s">
        <v>32</v>
      </c>
      <c r="B45" s="9" t="s">
        <v>84</v>
      </c>
      <c r="C45" s="9">
        <v>46</v>
      </c>
      <c r="D45" s="9">
        <v>41</v>
      </c>
      <c r="E45" s="9">
        <v>3</v>
      </c>
      <c r="F45" s="26">
        <v>0.89130434782608692</v>
      </c>
      <c r="G45" s="24">
        <v>7.3170731707317069E-2</v>
      </c>
    </row>
    <row r="46" spans="1:7" x14ac:dyDescent="0.25">
      <c r="A46" s="9" t="s">
        <v>32</v>
      </c>
      <c r="B46" s="9" t="s">
        <v>85</v>
      </c>
      <c r="C46" s="9">
        <v>49</v>
      </c>
      <c r="D46" s="9">
        <v>47</v>
      </c>
      <c r="E46" s="9">
        <v>0</v>
      </c>
      <c r="F46" s="26">
        <v>0.95918367346938771</v>
      </c>
      <c r="G46" s="24">
        <v>0</v>
      </c>
    </row>
    <row r="47" spans="1:7" x14ac:dyDescent="0.25">
      <c r="A47" s="9" t="s">
        <v>32</v>
      </c>
      <c r="B47" s="9" t="s">
        <v>86</v>
      </c>
      <c r="C47" s="9">
        <v>58</v>
      </c>
      <c r="D47" s="9">
        <v>54</v>
      </c>
      <c r="E47" s="9">
        <v>4</v>
      </c>
      <c r="F47" s="26">
        <v>0.93103448275862066</v>
      </c>
      <c r="G47" s="24">
        <v>7.407407407407407E-2</v>
      </c>
    </row>
    <row r="48" spans="1:7" x14ac:dyDescent="0.25">
      <c r="A48" s="9" t="s">
        <v>32</v>
      </c>
      <c r="B48" s="9" t="s">
        <v>87</v>
      </c>
      <c r="C48" s="9">
        <v>84</v>
      </c>
      <c r="D48" s="9">
        <v>79</v>
      </c>
      <c r="E48" s="9">
        <v>1</v>
      </c>
      <c r="F48" s="26">
        <v>0.94047619047619047</v>
      </c>
      <c r="G48" s="24">
        <v>1.2658227848101267E-2</v>
      </c>
    </row>
    <row r="49" spans="1:7" x14ac:dyDescent="0.25">
      <c r="A49" s="9" t="s">
        <v>32</v>
      </c>
      <c r="B49" s="9" t="s">
        <v>88</v>
      </c>
      <c r="C49" s="9">
        <v>42</v>
      </c>
      <c r="D49" s="9">
        <v>38</v>
      </c>
      <c r="E49" s="9">
        <v>3</v>
      </c>
      <c r="F49" s="26">
        <v>0.90476190476190477</v>
      </c>
      <c r="G49" s="24">
        <v>7.8947368421052627E-2</v>
      </c>
    </row>
    <row r="50" spans="1:7" x14ac:dyDescent="0.25">
      <c r="A50" s="9" t="s">
        <v>33</v>
      </c>
      <c r="B50" s="9" t="s">
        <v>83</v>
      </c>
      <c r="C50" s="9">
        <v>46</v>
      </c>
      <c r="D50" s="9">
        <v>45</v>
      </c>
      <c r="E50" s="9">
        <v>4</v>
      </c>
      <c r="F50" s="26">
        <v>0.97826086956521729</v>
      </c>
      <c r="G50" s="24">
        <v>8.8888888888888892E-2</v>
      </c>
    </row>
    <row r="51" spans="1:7" x14ac:dyDescent="0.25">
      <c r="A51" s="9" t="s">
        <v>33</v>
      </c>
      <c r="B51" s="9" t="s">
        <v>84</v>
      </c>
      <c r="C51" s="9">
        <v>68</v>
      </c>
      <c r="D51" s="9">
        <v>65</v>
      </c>
      <c r="E51" s="9">
        <v>1</v>
      </c>
      <c r="F51" s="26">
        <v>0.95588235294117652</v>
      </c>
      <c r="G51" s="24">
        <v>1.5384615384615385E-2</v>
      </c>
    </row>
    <row r="52" spans="1:7" x14ac:dyDescent="0.25">
      <c r="A52" s="9" t="s">
        <v>33</v>
      </c>
      <c r="B52" s="9" t="s">
        <v>85</v>
      </c>
      <c r="C52" s="9">
        <v>60</v>
      </c>
      <c r="D52" s="9">
        <v>57</v>
      </c>
      <c r="E52" s="9">
        <v>4</v>
      </c>
      <c r="F52" s="26">
        <v>0.95</v>
      </c>
      <c r="G52" s="24">
        <v>7.0175438596491224E-2</v>
      </c>
    </row>
    <row r="53" spans="1:7" x14ac:dyDescent="0.25">
      <c r="A53" s="9" t="s">
        <v>33</v>
      </c>
      <c r="B53" s="9" t="s">
        <v>86</v>
      </c>
      <c r="C53" s="9">
        <v>68</v>
      </c>
      <c r="D53" s="9">
        <v>67</v>
      </c>
      <c r="E53" s="9">
        <v>2</v>
      </c>
      <c r="F53" s="26">
        <v>0.98529411764705888</v>
      </c>
      <c r="G53" s="24">
        <v>2.9850746268656712E-2</v>
      </c>
    </row>
    <row r="54" spans="1:7" x14ac:dyDescent="0.25">
      <c r="A54" s="9" t="s">
        <v>33</v>
      </c>
      <c r="B54" s="9" t="s">
        <v>87</v>
      </c>
      <c r="C54" s="9">
        <v>68</v>
      </c>
      <c r="D54" s="9">
        <v>68</v>
      </c>
      <c r="E54" s="9">
        <v>0</v>
      </c>
      <c r="F54" s="26">
        <v>1</v>
      </c>
      <c r="G54" s="24">
        <v>0</v>
      </c>
    </row>
    <row r="55" spans="1:7" x14ac:dyDescent="0.25">
      <c r="A55" s="9" t="s">
        <v>33</v>
      </c>
      <c r="B55" s="9" t="s">
        <v>88</v>
      </c>
      <c r="C55" s="9">
        <v>66</v>
      </c>
      <c r="D55" s="9">
        <v>63</v>
      </c>
      <c r="E55" s="9">
        <v>1</v>
      </c>
      <c r="F55" s="26">
        <v>0.95454545454545459</v>
      </c>
      <c r="G55" s="24">
        <v>1.5873015873015872E-2</v>
      </c>
    </row>
    <row r="56" spans="1:7" x14ac:dyDescent="0.25">
      <c r="A56" s="9" t="s">
        <v>34</v>
      </c>
      <c r="B56" s="9" t="s">
        <v>83</v>
      </c>
      <c r="C56" s="9">
        <v>83</v>
      </c>
      <c r="D56" s="9">
        <v>77</v>
      </c>
      <c r="E56" s="9">
        <v>4</v>
      </c>
      <c r="F56" s="26">
        <v>0.92771084337349397</v>
      </c>
      <c r="G56" s="24">
        <v>5.1948051948051945E-2</v>
      </c>
    </row>
    <row r="57" spans="1:7" x14ac:dyDescent="0.25">
      <c r="A57" s="9" t="s">
        <v>34</v>
      </c>
      <c r="B57" s="9" t="s">
        <v>84</v>
      </c>
      <c r="C57" s="9">
        <v>70</v>
      </c>
      <c r="D57" s="9">
        <v>66</v>
      </c>
      <c r="E57" s="9">
        <v>2</v>
      </c>
      <c r="F57" s="26">
        <v>0.94285714285714273</v>
      </c>
      <c r="G57" s="24">
        <v>3.0303030303030304E-2</v>
      </c>
    </row>
    <row r="58" spans="1:7" x14ac:dyDescent="0.25">
      <c r="A58" s="9" t="s">
        <v>34</v>
      </c>
      <c r="B58" s="9" t="s">
        <v>85</v>
      </c>
      <c r="C58" s="9">
        <v>45</v>
      </c>
      <c r="D58" s="9">
        <v>43</v>
      </c>
      <c r="E58" s="9">
        <v>3</v>
      </c>
      <c r="F58" s="26">
        <v>0.9555555555555556</v>
      </c>
      <c r="G58" s="24">
        <v>6.9767441860465115E-2</v>
      </c>
    </row>
    <row r="59" spans="1:7" x14ac:dyDescent="0.25">
      <c r="A59" s="9" t="s">
        <v>34</v>
      </c>
      <c r="B59" s="9" t="s">
        <v>86</v>
      </c>
      <c r="C59" s="9">
        <v>30</v>
      </c>
      <c r="D59" s="9">
        <v>28</v>
      </c>
      <c r="E59" s="9">
        <v>1</v>
      </c>
      <c r="F59" s="26">
        <v>0.93333333333333324</v>
      </c>
      <c r="G59" s="24">
        <v>3.5714285714285712E-2</v>
      </c>
    </row>
    <row r="60" spans="1:7" x14ac:dyDescent="0.25">
      <c r="A60" s="9" t="s">
        <v>34</v>
      </c>
      <c r="B60" s="9" t="s">
        <v>87</v>
      </c>
      <c r="C60" s="9">
        <v>77</v>
      </c>
      <c r="D60" s="9">
        <v>75</v>
      </c>
      <c r="E60" s="9">
        <v>3</v>
      </c>
      <c r="F60" s="26">
        <v>0.97402597402597413</v>
      </c>
      <c r="G60" s="24">
        <v>0.04</v>
      </c>
    </row>
    <row r="61" spans="1:7" x14ac:dyDescent="0.25">
      <c r="A61" s="9" t="s">
        <v>34</v>
      </c>
      <c r="B61" s="9" t="s">
        <v>88</v>
      </c>
      <c r="C61" s="9">
        <v>71</v>
      </c>
      <c r="D61" s="9">
        <v>69</v>
      </c>
      <c r="E61" s="9">
        <v>1</v>
      </c>
      <c r="F61" s="26">
        <v>0.971830985915493</v>
      </c>
      <c r="G61" s="24">
        <v>1.4492753623188406E-2</v>
      </c>
    </row>
    <row r="62" spans="1:7" x14ac:dyDescent="0.25">
      <c r="A62" s="9" t="s">
        <v>36</v>
      </c>
      <c r="B62" s="9" t="s">
        <v>83</v>
      </c>
      <c r="C62" s="9">
        <v>48</v>
      </c>
      <c r="D62" s="9">
        <v>42</v>
      </c>
      <c r="E62" s="9">
        <v>2</v>
      </c>
      <c r="F62" s="26">
        <v>0.875</v>
      </c>
      <c r="G62" s="24">
        <v>4.7619047619047616E-2</v>
      </c>
    </row>
    <row r="63" spans="1:7" x14ac:dyDescent="0.25">
      <c r="A63" s="9" t="s">
        <v>36</v>
      </c>
      <c r="B63" s="9" t="s">
        <v>84</v>
      </c>
      <c r="C63" s="9">
        <v>34</v>
      </c>
      <c r="D63" s="9">
        <v>33</v>
      </c>
      <c r="E63" s="9">
        <v>4</v>
      </c>
      <c r="F63" s="26">
        <v>0.97058823529411764</v>
      </c>
      <c r="G63" s="24">
        <v>0.12121212121212122</v>
      </c>
    </row>
    <row r="64" spans="1:7" x14ac:dyDescent="0.25">
      <c r="A64" s="9" t="s">
        <v>36</v>
      </c>
      <c r="B64" s="9" t="s">
        <v>85</v>
      </c>
      <c r="C64" s="9">
        <v>34</v>
      </c>
      <c r="D64" s="9">
        <v>34</v>
      </c>
      <c r="E64" s="9">
        <v>0</v>
      </c>
      <c r="F64" s="26">
        <v>1</v>
      </c>
      <c r="G64" s="24">
        <v>0</v>
      </c>
    </row>
    <row r="65" spans="1:7" x14ac:dyDescent="0.25">
      <c r="A65" s="9" t="s">
        <v>36</v>
      </c>
      <c r="B65" s="9" t="s">
        <v>86</v>
      </c>
      <c r="C65" s="9">
        <v>61</v>
      </c>
      <c r="D65" s="9">
        <v>61</v>
      </c>
      <c r="E65" s="9">
        <v>1</v>
      </c>
      <c r="F65" s="26">
        <v>1</v>
      </c>
      <c r="G65" s="24">
        <v>1.6393442622950821E-2</v>
      </c>
    </row>
    <row r="66" spans="1:7" x14ac:dyDescent="0.25">
      <c r="A66" s="9" t="s">
        <v>36</v>
      </c>
      <c r="B66" s="9" t="s">
        <v>87</v>
      </c>
      <c r="C66" s="9">
        <v>31</v>
      </c>
      <c r="D66" s="9">
        <v>27</v>
      </c>
      <c r="E66" s="9">
        <v>4</v>
      </c>
      <c r="F66" s="26">
        <v>0.87096774193548387</v>
      </c>
      <c r="G66" s="24">
        <v>0.14814814814814814</v>
      </c>
    </row>
    <row r="67" spans="1:7" x14ac:dyDescent="0.25">
      <c r="A67" s="9" t="s">
        <v>36</v>
      </c>
      <c r="B67" s="9" t="s">
        <v>88</v>
      </c>
      <c r="C67" s="9">
        <v>52</v>
      </c>
      <c r="D67" s="9">
        <v>48</v>
      </c>
      <c r="E67" s="9">
        <v>4</v>
      </c>
      <c r="F67" s="26">
        <v>0.92307692307692302</v>
      </c>
      <c r="G67" s="24">
        <v>8.3333333333333315E-2</v>
      </c>
    </row>
    <row r="68" spans="1:7" x14ac:dyDescent="0.25">
      <c r="A68" s="9" t="s">
        <v>38</v>
      </c>
      <c r="B68" s="9" t="s">
        <v>83</v>
      </c>
      <c r="C68" s="9">
        <v>51</v>
      </c>
      <c r="D68" s="9">
        <v>51</v>
      </c>
      <c r="E68" s="9">
        <v>3</v>
      </c>
      <c r="F68" s="26">
        <v>1</v>
      </c>
      <c r="G68" s="24">
        <v>5.8823529411764698E-2</v>
      </c>
    </row>
    <row r="69" spans="1:7" x14ac:dyDescent="0.25">
      <c r="A69" s="9" t="s">
        <v>38</v>
      </c>
      <c r="B69" s="9" t="s">
        <v>84</v>
      </c>
      <c r="C69" s="9">
        <v>48</v>
      </c>
      <c r="D69" s="9">
        <v>47</v>
      </c>
      <c r="E69" s="9">
        <v>4</v>
      </c>
      <c r="F69" s="26">
        <v>0.97916666666666652</v>
      </c>
      <c r="G69" s="24">
        <v>8.5106382978723402E-2</v>
      </c>
    </row>
    <row r="70" spans="1:7" x14ac:dyDescent="0.25">
      <c r="A70" s="9" t="s">
        <v>38</v>
      </c>
      <c r="B70" s="9" t="s">
        <v>85</v>
      </c>
      <c r="C70" s="9">
        <v>31</v>
      </c>
      <c r="D70" s="9">
        <v>31</v>
      </c>
      <c r="E70" s="9">
        <v>0</v>
      </c>
      <c r="F70" s="26">
        <v>1</v>
      </c>
      <c r="G70" s="24">
        <v>0</v>
      </c>
    </row>
    <row r="71" spans="1:7" x14ac:dyDescent="0.25">
      <c r="A71" s="9" t="s">
        <v>38</v>
      </c>
      <c r="B71" s="9" t="s">
        <v>86</v>
      </c>
      <c r="C71" s="9">
        <v>80</v>
      </c>
      <c r="D71" s="9">
        <v>75</v>
      </c>
      <c r="E71" s="9">
        <v>0</v>
      </c>
      <c r="F71" s="26">
        <v>0.9375</v>
      </c>
      <c r="G71" s="24">
        <v>0</v>
      </c>
    </row>
    <row r="72" spans="1:7" x14ac:dyDescent="0.25">
      <c r="A72" s="9" t="s">
        <v>38</v>
      </c>
      <c r="B72" s="9" t="s">
        <v>87</v>
      </c>
      <c r="C72" s="9">
        <v>79</v>
      </c>
      <c r="D72" s="9">
        <v>78</v>
      </c>
      <c r="E72" s="9">
        <v>3</v>
      </c>
      <c r="F72" s="26">
        <v>0.98734177215189878</v>
      </c>
      <c r="G72" s="24">
        <v>3.8461538461538464E-2</v>
      </c>
    </row>
    <row r="73" spans="1:7" x14ac:dyDescent="0.25">
      <c r="A73" s="9" t="s">
        <v>38</v>
      </c>
      <c r="B73" s="9" t="s">
        <v>88</v>
      </c>
      <c r="C73" s="9">
        <v>71</v>
      </c>
      <c r="D73" s="9">
        <v>68</v>
      </c>
      <c r="E73" s="9">
        <v>4</v>
      </c>
      <c r="F73" s="26">
        <v>0.95774647887323938</v>
      </c>
      <c r="G73" s="24">
        <v>5.8823529411764698E-2</v>
      </c>
    </row>
    <row r="74" spans="1:7" x14ac:dyDescent="0.25">
      <c r="A74" s="9" t="s">
        <v>39</v>
      </c>
      <c r="B74" s="9" t="s">
        <v>83</v>
      </c>
      <c r="C74" s="9">
        <v>53</v>
      </c>
      <c r="D74" s="9">
        <v>50</v>
      </c>
      <c r="E74" s="9">
        <v>1</v>
      </c>
      <c r="F74" s="26">
        <v>0.94339622641509435</v>
      </c>
      <c r="G74" s="24">
        <v>0.02</v>
      </c>
    </row>
    <row r="75" spans="1:7" x14ac:dyDescent="0.25">
      <c r="A75" s="9" t="s">
        <v>39</v>
      </c>
      <c r="B75" s="9" t="s">
        <v>84</v>
      </c>
      <c r="C75" s="9">
        <v>54</v>
      </c>
      <c r="D75" s="9">
        <v>51</v>
      </c>
      <c r="E75" s="9">
        <v>3</v>
      </c>
      <c r="F75" s="26">
        <v>0.94444444444444442</v>
      </c>
      <c r="G75" s="24">
        <v>5.8823529411764698E-2</v>
      </c>
    </row>
    <row r="76" spans="1:7" x14ac:dyDescent="0.25">
      <c r="A76" s="9" t="s">
        <v>39</v>
      </c>
      <c r="B76" s="9" t="s">
        <v>85</v>
      </c>
      <c r="C76" s="9">
        <v>83</v>
      </c>
      <c r="D76" s="9">
        <v>83</v>
      </c>
      <c r="E76" s="9">
        <v>1</v>
      </c>
      <c r="F76" s="26">
        <v>1</v>
      </c>
      <c r="G76" s="24">
        <v>1.2048192771084338E-2</v>
      </c>
    </row>
    <row r="77" spans="1:7" x14ac:dyDescent="0.25">
      <c r="A77" s="9" t="s">
        <v>39</v>
      </c>
      <c r="B77" s="9" t="s">
        <v>86</v>
      </c>
      <c r="C77" s="9">
        <v>54</v>
      </c>
      <c r="D77" s="9">
        <v>48</v>
      </c>
      <c r="E77" s="9">
        <v>5</v>
      </c>
      <c r="F77" s="26">
        <v>0.88888888888888884</v>
      </c>
      <c r="G77" s="24">
        <v>0.10416666666666669</v>
      </c>
    </row>
    <row r="78" spans="1:7" x14ac:dyDescent="0.25">
      <c r="A78" s="9" t="s">
        <v>39</v>
      </c>
      <c r="B78" s="9" t="s">
        <v>87</v>
      </c>
      <c r="C78" s="9">
        <v>75</v>
      </c>
      <c r="D78" s="9">
        <v>73</v>
      </c>
      <c r="E78" s="9">
        <v>1</v>
      </c>
      <c r="F78" s="26">
        <v>0.97333333333333338</v>
      </c>
      <c r="G78" s="24">
        <v>1.3698630136986301E-2</v>
      </c>
    </row>
    <row r="79" spans="1:7" x14ac:dyDescent="0.25">
      <c r="A79" s="9" t="s">
        <v>39</v>
      </c>
      <c r="B79" s="9" t="s">
        <v>88</v>
      </c>
      <c r="C79" s="9">
        <v>73</v>
      </c>
      <c r="D79" s="9">
        <v>68</v>
      </c>
      <c r="E79" s="9">
        <v>2</v>
      </c>
      <c r="F79" s="26">
        <v>0.93150684931506844</v>
      </c>
      <c r="G79" s="24">
        <v>2.9411764705882349E-2</v>
      </c>
    </row>
    <row r="80" spans="1:7" x14ac:dyDescent="0.25">
      <c r="A80" s="9" t="s">
        <v>40</v>
      </c>
      <c r="B80" s="9" t="s">
        <v>83</v>
      </c>
      <c r="C80" s="9">
        <v>78</v>
      </c>
      <c r="D80" s="9">
        <v>78</v>
      </c>
      <c r="E80" s="9">
        <v>1</v>
      </c>
      <c r="F80" s="26">
        <v>1</v>
      </c>
      <c r="G80" s="24">
        <v>1.282051282051282E-2</v>
      </c>
    </row>
    <row r="81" spans="1:7" x14ac:dyDescent="0.25">
      <c r="A81" s="9" t="s">
        <v>40</v>
      </c>
      <c r="B81" s="9" t="s">
        <v>84</v>
      </c>
      <c r="C81" s="9">
        <v>84</v>
      </c>
      <c r="D81" s="9">
        <v>80</v>
      </c>
      <c r="E81" s="9">
        <v>0</v>
      </c>
      <c r="F81" s="26">
        <v>0.95238095238095222</v>
      </c>
      <c r="G81" s="24">
        <v>0</v>
      </c>
    </row>
    <row r="82" spans="1:7" x14ac:dyDescent="0.25">
      <c r="A82" s="9" t="s">
        <v>40</v>
      </c>
      <c r="B82" s="9" t="s">
        <v>85</v>
      </c>
      <c r="C82" s="9">
        <v>75</v>
      </c>
      <c r="D82" s="9">
        <v>71</v>
      </c>
      <c r="E82" s="9">
        <v>1</v>
      </c>
      <c r="F82" s="26">
        <v>0.94666666666666677</v>
      </c>
      <c r="G82" s="24">
        <v>1.4084507042253523E-2</v>
      </c>
    </row>
    <row r="83" spans="1:7" x14ac:dyDescent="0.25">
      <c r="A83" s="9" t="s">
        <v>40</v>
      </c>
      <c r="B83" s="9" t="s">
        <v>86</v>
      </c>
      <c r="C83" s="9">
        <v>52</v>
      </c>
      <c r="D83" s="9">
        <v>46</v>
      </c>
      <c r="E83" s="9">
        <v>0</v>
      </c>
      <c r="F83" s="26">
        <v>0.88461538461538458</v>
      </c>
      <c r="G83" s="24">
        <v>0</v>
      </c>
    </row>
    <row r="84" spans="1:7" x14ac:dyDescent="0.25">
      <c r="A84" s="9" t="s">
        <v>40</v>
      </c>
      <c r="B84" s="9" t="s">
        <v>87</v>
      </c>
      <c r="C84" s="9">
        <v>35</v>
      </c>
      <c r="D84" s="9">
        <v>29</v>
      </c>
      <c r="E84" s="9">
        <v>5</v>
      </c>
      <c r="F84" s="26">
        <v>0.82857142857142863</v>
      </c>
      <c r="G84" s="24">
        <v>0.17241379310344829</v>
      </c>
    </row>
    <row r="85" spans="1:7" x14ac:dyDescent="0.25">
      <c r="A85" s="9" t="s">
        <v>40</v>
      </c>
      <c r="B85" s="9" t="s">
        <v>88</v>
      </c>
      <c r="C85" s="9">
        <v>58</v>
      </c>
      <c r="D85" s="9">
        <v>52</v>
      </c>
      <c r="E85" s="9">
        <v>1</v>
      </c>
      <c r="F85" s="26">
        <v>0.89655172413793105</v>
      </c>
      <c r="G85" s="24">
        <v>1.9230769230769232E-2</v>
      </c>
    </row>
    <row r="86" spans="1:7" x14ac:dyDescent="0.25">
      <c r="A86" s="9" t="s">
        <v>41</v>
      </c>
      <c r="B86" s="9" t="s">
        <v>83</v>
      </c>
      <c r="C86" s="9">
        <v>44</v>
      </c>
      <c r="D86" s="9">
        <v>39</v>
      </c>
      <c r="E86" s="9">
        <v>2</v>
      </c>
      <c r="F86" s="26">
        <v>0.88636363636363635</v>
      </c>
      <c r="G86" s="24">
        <v>5.128205128205128E-2</v>
      </c>
    </row>
    <row r="87" spans="1:7" x14ac:dyDescent="0.25">
      <c r="A87" s="9" t="s">
        <v>41</v>
      </c>
      <c r="B87" s="9" t="s">
        <v>84</v>
      </c>
      <c r="C87" s="9">
        <v>82</v>
      </c>
      <c r="D87" s="9">
        <v>82</v>
      </c>
      <c r="E87" s="9">
        <v>0</v>
      </c>
      <c r="F87" s="26">
        <v>1</v>
      </c>
      <c r="G87" s="24">
        <v>0</v>
      </c>
    </row>
    <row r="88" spans="1:7" x14ac:dyDescent="0.25">
      <c r="A88" s="9" t="s">
        <v>41</v>
      </c>
      <c r="B88" s="9" t="s">
        <v>85</v>
      </c>
      <c r="C88" s="9">
        <v>66</v>
      </c>
      <c r="D88" s="9">
        <v>62</v>
      </c>
      <c r="E88" s="9">
        <v>3</v>
      </c>
      <c r="F88" s="26">
        <v>0.93939393939393934</v>
      </c>
      <c r="G88" s="24">
        <v>4.8387096774193547E-2</v>
      </c>
    </row>
    <row r="89" spans="1:7" x14ac:dyDescent="0.25">
      <c r="A89" s="9" t="s">
        <v>41</v>
      </c>
      <c r="B89" s="9" t="s">
        <v>86</v>
      </c>
      <c r="C89" s="9">
        <v>36</v>
      </c>
      <c r="D89" s="9">
        <v>36</v>
      </c>
      <c r="E89" s="9">
        <v>2</v>
      </c>
      <c r="F89" s="26">
        <v>1</v>
      </c>
      <c r="G89" s="24">
        <v>5.5555555555555552E-2</v>
      </c>
    </row>
    <row r="90" spans="1:7" x14ac:dyDescent="0.25">
      <c r="A90" s="9" t="s">
        <v>41</v>
      </c>
      <c r="B90" s="9" t="s">
        <v>87</v>
      </c>
      <c r="C90" s="9">
        <v>37</v>
      </c>
      <c r="D90" s="9">
        <v>37</v>
      </c>
      <c r="E90" s="9">
        <v>5</v>
      </c>
      <c r="F90" s="26">
        <v>1</v>
      </c>
      <c r="G90" s="24">
        <v>0.13513513513513514</v>
      </c>
    </row>
    <row r="91" spans="1:7" x14ac:dyDescent="0.25">
      <c r="A91" s="9" t="s">
        <v>41</v>
      </c>
      <c r="B91" s="9" t="s">
        <v>88</v>
      </c>
      <c r="C91" s="9">
        <v>73</v>
      </c>
      <c r="D91" s="9">
        <v>67</v>
      </c>
      <c r="E91" s="9">
        <v>5</v>
      </c>
      <c r="F91" s="26">
        <v>0.91780821917808231</v>
      </c>
      <c r="G91" s="24">
        <v>7.4626865671641784E-2</v>
      </c>
    </row>
    <row r="92" spans="1:7" x14ac:dyDescent="0.25">
      <c r="A92" s="9" t="s">
        <v>42</v>
      </c>
      <c r="B92" s="9" t="s">
        <v>83</v>
      </c>
      <c r="C92" s="9">
        <v>42</v>
      </c>
      <c r="D92" s="9">
        <v>36</v>
      </c>
      <c r="E92" s="9">
        <v>2</v>
      </c>
      <c r="F92" s="26">
        <v>0.8571428571428571</v>
      </c>
      <c r="G92" s="24">
        <v>5.5555555555555552E-2</v>
      </c>
    </row>
    <row r="93" spans="1:7" x14ac:dyDescent="0.25">
      <c r="A93" s="9" t="s">
        <v>42</v>
      </c>
      <c r="B93" s="9" t="s">
        <v>84</v>
      </c>
      <c r="C93" s="9">
        <v>70</v>
      </c>
      <c r="D93" s="9">
        <v>69</v>
      </c>
      <c r="E93" s="9">
        <v>3</v>
      </c>
      <c r="F93" s="26">
        <v>0.98571428571428588</v>
      </c>
      <c r="G93" s="24">
        <v>4.3478260869565216E-2</v>
      </c>
    </row>
    <row r="94" spans="1:7" x14ac:dyDescent="0.25">
      <c r="A94" s="9" t="s">
        <v>42</v>
      </c>
      <c r="B94" s="9" t="s">
        <v>85</v>
      </c>
      <c r="C94" s="9">
        <v>59</v>
      </c>
      <c r="D94" s="9">
        <v>54</v>
      </c>
      <c r="E94" s="9">
        <v>3</v>
      </c>
      <c r="F94" s="26">
        <v>0.9152542372881356</v>
      </c>
      <c r="G94" s="24">
        <v>5.5555555555555552E-2</v>
      </c>
    </row>
    <row r="95" spans="1:7" x14ac:dyDescent="0.25">
      <c r="A95" s="9" t="s">
        <v>42</v>
      </c>
      <c r="B95" s="9" t="s">
        <v>86</v>
      </c>
      <c r="C95" s="9">
        <v>75</v>
      </c>
      <c r="D95" s="9">
        <v>73</v>
      </c>
      <c r="E95" s="9">
        <v>5</v>
      </c>
      <c r="F95" s="26">
        <v>0.97333333333333338</v>
      </c>
      <c r="G95" s="24">
        <v>6.8493150684931503E-2</v>
      </c>
    </row>
    <row r="96" spans="1:7" x14ac:dyDescent="0.25">
      <c r="A96" s="9" t="s">
        <v>42</v>
      </c>
      <c r="B96" s="9" t="s">
        <v>87</v>
      </c>
      <c r="C96" s="9">
        <v>38</v>
      </c>
      <c r="D96" s="9">
        <v>36</v>
      </c>
      <c r="E96" s="9">
        <v>1</v>
      </c>
      <c r="F96" s="26">
        <v>0.94736842105263153</v>
      </c>
      <c r="G96" s="24">
        <v>2.7777777777777776E-2</v>
      </c>
    </row>
    <row r="97" spans="1:7" x14ac:dyDescent="0.25">
      <c r="A97" s="9" t="s">
        <v>42</v>
      </c>
      <c r="B97" s="9" t="s">
        <v>88</v>
      </c>
      <c r="C97" s="9">
        <v>43</v>
      </c>
      <c r="D97" s="9">
        <v>41</v>
      </c>
      <c r="E97" s="9">
        <v>3</v>
      </c>
      <c r="F97" s="26">
        <v>0.95348837209302328</v>
      </c>
      <c r="G97" s="24">
        <v>7.3170731707317069E-2</v>
      </c>
    </row>
    <row r="98" spans="1:7" x14ac:dyDescent="0.25">
      <c r="A98" s="9" t="s">
        <v>43</v>
      </c>
      <c r="B98" s="9" t="s">
        <v>83</v>
      </c>
      <c r="C98" s="9">
        <v>39</v>
      </c>
      <c r="D98" s="9">
        <v>39</v>
      </c>
      <c r="E98" s="9">
        <v>5</v>
      </c>
      <c r="F98" s="26">
        <v>1</v>
      </c>
      <c r="G98" s="24">
        <v>0.12820512820512819</v>
      </c>
    </row>
    <row r="99" spans="1:7" x14ac:dyDescent="0.25">
      <c r="A99" s="9" t="s">
        <v>43</v>
      </c>
      <c r="B99" s="9" t="s">
        <v>84</v>
      </c>
      <c r="C99" s="9">
        <v>54</v>
      </c>
      <c r="D99" s="9">
        <v>50</v>
      </c>
      <c r="E99" s="9">
        <v>0</v>
      </c>
      <c r="F99" s="26">
        <v>0.92592592592592593</v>
      </c>
      <c r="G99" s="24">
        <v>0</v>
      </c>
    </row>
    <row r="100" spans="1:7" x14ac:dyDescent="0.25">
      <c r="A100" s="9" t="s">
        <v>43</v>
      </c>
      <c r="B100" s="9" t="s">
        <v>85</v>
      </c>
      <c r="C100" s="9">
        <v>77</v>
      </c>
      <c r="D100" s="9">
        <v>71</v>
      </c>
      <c r="E100" s="9">
        <v>4</v>
      </c>
      <c r="F100" s="26">
        <v>0.92207792207792205</v>
      </c>
      <c r="G100" s="24">
        <v>5.6338028169014093E-2</v>
      </c>
    </row>
    <row r="101" spans="1:7" x14ac:dyDescent="0.25">
      <c r="A101" s="9" t="s">
        <v>43</v>
      </c>
      <c r="B101" s="9" t="s">
        <v>86</v>
      </c>
      <c r="C101" s="9">
        <v>39</v>
      </c>
      <c r="D101" s="9">
        <v>39</v>
      </c>
      <c r="E101" s="9">
        <v>3</v>
      </c>
      <c r="F101" s="26">
        <v>1</v>
      </c>
      <c r="G101" s="24">
        <v>7.6923076923076927E-2</v>
      </c>
    </row>
    <row r="102" spans="1:7" x14ac:dyDescent="0.25">
      <c r="A102" s="9" t="s">
        <v>43</v>
      </c>
      <c r="B102" s="9" t="s">
        <v>87</v>
      </c>
      <c r="C102" s="9">
        <v>33</v>
      </c>
      <c r="D102" s="9">
        <v>32</v>
      </c>
      <c r="E102" s="9">
        <v>1</v>
      </c>
      <c r="F102" s="26">
        <v>0.96969696969696972</v>
      </c>
      <c r="G102" s="24">
        <v>3.125E-2</v>
      </c>
    </row>
    <row r="103" spans="1:7" x14ac:dyDescent="0.25">
      <c r="A103" s="9" t="s">
        <v>43</v>
      </c>
      <c r="B103" s="9" t="s">
        <v>88</v>
      </c>
      <c r="C103" s="9">
        <v>40</v>
      </c>
      <c r="D103" s="9">
        <v>39</v>
      </c>
      <c r="E103" s="9">
        <v>2</v>
      </c>
      <c r="F103" s="26">
        <v>0.97499999999999998</v>
      </c>
      <c r="G103" s="24">
        <v>5.128205128205128E-2</v>
      </c>
    </row>
    <row r="104" spans="1:7" x14ac:dyDescent="0.25">
      <c r="A104" s="9" t="s">
        <v>45</v>
      </c>
      <c r="B104" s="9" t="s">
        <v>83</v>
      </c>
      <c r="C104" s="9">
        <v>36</v>
      </c>
      <c r="D104" s="9">
        <v>35</v>
      </c>
      <c r="E104" s="9">
        <v>1</v>
      </c>
      <c r="F104" s="26">
        <v>0.9722222222222221</v>
      </c>
      <c r="G104" s="24">
        <v>2.8571428571428571E-2</v>
      </c>
    </row>
    <row r="105" spans="1:7" x14ac:dyDescent="0.25">
      <c r="A105" s="9" t="s">
        <v>45</v>
      </c>
      <c r="B105" s="9" t="s">
        <v>84</v>
      </c>
      <c r="C105" s="9">
        <v>85</v>
      </c>
      <c r="D105" s="9">
        <v>80</v>
      </c>
      <c r="E105" s="9">
        <v>0</v>
      </c>
      <c r="F105" s="26">
        <v>0.94117647058823517</v>
      </c>
      <c r="G105" s="24">
        <v>0</v>
      </c>
    </row>
    <row r="106" spans="1:7" x14ac:dyDescent="0.25">
      <c r="A106" s="9" t="s">
        <v>45</v>
      </c>
      <c r="B106" s="9" t="s">
        <v>85</v>
      </c>
      <c r="C106" s="9">
        <v>40</v>
      </c>
      <c r="D106" s="9">
        <v>34</v>
      </c>
      <c r="E106" s="9">
        <v>1</v>
      </c>
      <c r="F106" s="26">
        <v>0.85</v>
      </c>
      <c r="G106" s="24">
        <v>2.9411764705882349E-2</v>
      </c>
    </row>
    <row r="107" spans="1:7" x14ac:dyDescent="0.25">
      <c r="A107" s="9" t="s">
        <v>45</v>
      </c>
      <c r="B107" s="9" t="s">
        <v>86</v>
      </c>
      <c r="C107" s="9">
        <v>49</v>
      </c>
      <c r="D107" s="9">
        <v>46</v>
      </c>
      <c r="E107" s="9">
        <v>3</v>
      </c>
      <c r="F107" s="26">
        <v>0.93877551020408168</v>
      </c>
      <c r="G107" s="24">
        <v>6.5217391304347824E-2</v>
      </c>
    </row>
    <row r="108" spans="1:7" x14ac:dyDescent="0.25">
      <c r="A108" s="9" t="s">
        <v>45</v>
      </c>
      <c r="B108" s="9" t="s">
        <v>87</v>
      </c>
      <c r="C108" s="9">
        <v>65</v>
      </c>
      <c r="D108" s="9">
        <v>62</v>
      </c>
      <c r="E108" s="9">
        <v>0</v>
      </c>
      <c r="F108" s="26">
        <v>0.9538461538461539</v>
      </c>
      <c r="G108" s="24">
        <v>0</v>
      </c>
    </row>
    <row r="109" spans="1:7" x14ac:dyDescent="0.25">
      <c r="A109" s="9" t="s">
        <v>45</v>
      </c>
      <c r="B109" s="9" t="s">
        <v>88</v>
      </c>
      <c r="C109" s="9">
        <v>75</v>
      </c>
      <c r="D109" s="9">
        <v>71</v>
      </c>
      <c r="E109" s="9">
        <v>1</v>
      </c>
      <c r="F109" s="26">
        <v>0.94666666666666677</v>
      </c>
      <c r="G109" s="24">
        <v>1.4084507042253523E-2</v>
      </c>
    </row>
    <row r="110" spans="1:7" x14ac:dyDescent="0.25">
      <c r="A110" s="9" t="s">
        <v>47</v>
      </c>
      <c r="B110" s="9" t="s">
        <v>83</v>
      </c>
      <c r="C110" s="9">
        <v>39</v>
      </c>
      <c r="D110" s="9">
        <v>36</v>
      </c>
      <c r="E110" s="9">
        <v>5</v>
      </c>
      <c r="F110" s="26">
        <v>0.92307692307692302</v>
      </c>
      <c r="G110" s="24">
        <v>0.1388888888888889</v>
      </c>
    </row>
    <row r="111" spans="1:7" x14ac:dyDescent="0.25">
      <c r="A111" s="9" t="s">
        <v>47</v>
      </c>
      <c r="B111" s="9" t="s">
        <v>84</v>
      </c>
      <c r="C111" s="9">
        <v>55</v>
      </c>
      <c r="D111" s="9">
        <v>53</v>
      </c>
      <c r="E111" s="9">
        <v>4</v>
      </c>
      <c r="F111" s="26">
        <v>0.96363636363636362</v>
      </c>
      <c r="G111" s="24">
        <v>7.5471698113207544E-2</v>
      </c>
    </row>
    <row r="112" spans="1:7" x14ac:dyDescent="0.25">
      <c r="A112" s="9" t="s">
        <v>47</v>
      </c>
      <c r="B112" s="9" t="s">
        <v>85</v>
      </c>
      <c r="C112" s="9">
        <v>66</v>
      </c>
      <c r="D112" s="9">
        <v>63</v>
      </c>
      <c r="E112" s="9">
        <v>4</v>
      </c>
      <c r="F112" s="26">
        <v>0.95454545454545459</v>
      </c>
      <c r="G112" s="24">
        <v>6.3492063492063489E-2</v>
      </c>
    </row>
    <row r="113" spans="1:7" x14ac:dyDescent="0.25">
      <c r="A113" s="9" t="s">
        <v>47</v>
      </c>
      <c r="B113" s="9" t="s">
        <v>86</v>
      </c>
      <c r="C113" s="9">
        <v>39</v>
      </c>
      <c r="D113" s="9">
        <v>36</v>
      </c>
      <c r="E113" s="9">
        <v>2</v>
      </c>
      <c r="F113" s="26">
        <v>0.92307692307692302</v>
      </c>
      <c r="G113" s="24">
        <v>5.5555555555555552E-2</v>
      </c>
    </row>
    <row r="114" spans="1:7" x14ac:dyDescent="0.25">
      <c r="A114" s="9" t="s">
        <v>47</v>
      </c>
      <c r="B114" s="9" t="s">
        <v>87</v>
      </c>
      <c r="C114" s="9">
        <v>49</v>
      </c>
      <c r="D114" s="9">
        <v>44</v>
      </c>
      <c r="E114" s="9">
        <v>2</v>
      </c>
      <c r="F114" s="26">
        <v>0.89795918367346939</v>
      </c>
      <c r="G114" s="24">
        <v>4.5454545454545456E-2</v>
      </c>
    </row>
    <row r="115" spans="1:7" x14ac:dyDescent="0.25">
      <c r="A115" s="9" t="s">
        <v>47</v>
      </c>
      <c r="B115" s="9" t="s">
        <v>88</v>
      </c>
      <c r="C115" s="9">
        <v>83</v>
      </c>
      <c r="D115" s="9">
        <v>81</v>
      </c>
      <c r="E115" s="9">
        <v>3</v>
      </c>
      <c r="F115" s="26">
        <v>0.97590361445783136</v>
      </c>
      <c r="G115" s="24">
        <v>3.7037037037037035E-2</v>
      </c>
    </row>
    <row r="116" spans="1:7" x14ac:dyDescent="0.25">
      <c r="A116" s="9" t="s">
        <v>48</v>
      </c>
      <c r="B116" s="9" t="s">
        <v>83</v>
      </c>
      <c r="C116" s="9">
        <v>55</v>
      </c>
      <c r="D116" s="9">
        <v>51</v>
      </c>
      <c r="E116" s="9">
        <v>0</v>
      </c>
      <c r="F116" s="26">
        <v>0.92727272727272725</v>
      </c>
      <c r="G116" s="24">
        <v>0</v>
      </c>
    </row>
    <row r="117" spans="1:7" x14ac:dyDescent="0.25">
      <c r="A117" s="9" t="s">
        <v>48</v>
      </c>
      <c r="B117" s="9" t="s">
        <v>84</v>
      </c>
      <c r="C117" s="9">
        <v>71</v>
      </c>
      <c r="D117" s="9">
        <v>69</v>
      </c>
      <c r="E117" s="9">
        <v>3</v>
      </c>
      <c r="F117" s="26">
        <v>0.971830985915493</v>
      </c>
      <c r="G117" s="24">
        <v>4.3478260869565216E-2</v>
      </c>
    </row>
    <row r="118" spans="1:7" x14ac:dyDescent="0.25">
      <c r="A118" s="9" t="s">
        <v>48</v>
      </c>
      <c r="B118" s="9" t="s">
        <v>85</v>
      </c>
      <c r="C118" s="9">
        <v>64</v>
      </c>
      <c r="D118" s="9">
        <v>64</v>
      </c>
      <c r="E118" s="9">
        <v>1</v>
      </c>
      <c r="F118" s="26">
        <v>1</v>
      </c>
      <c r="G118" s="24">
        <v>1.5625E-2</v>
      </c>
    </row>
    <row r="119" spans="1:7" x14ac:dyDescent="0.25">
      <c r="A119" s="9" t="s">
        <v>48</v>
      </c>
      <c r="B119" s="9" t="s">
        <v>86</v>
      </c>
      <c r="C119" s="9">
        <v>53</v>
      </c>
      <c r="D119" s="9">
        <v>52</v>
      </c>
      <c r="E119" s="9">
        <v>2</v>
      </c>
      <c r="F119" s="26">
        <v>0.98113207547169812</v>
      </c>
      <c r="G119" s="24">
        <v>3.8461538461538464E-2</v>
      </c>
    </row>
    <row r="120" spans="1:7" x14ac:dyDescent="0.25">
      <c r="A120" s="9" t="s">
        <v>48</v>
      </c>
      <c r="B120" s="9" t="s">
        <v>87</v>
      </c>
      <c r="C120" s="9">
        <v>38</v>
      </c>
      <c r="D120" s="9">
        <v>37</v>
      </c>
      <c r="E120" s="9">
        <v>2</v>
      </c>
      <c r="F120" s="26">
        <v>0.97368421052631571</v>
      </c>
      <c r="G120" s="24">
        <v>5.405405405405405E-2</v>
      </c>
    </row>
    <row r="121" spans="1:7" x14ac:dyDescent="0.25">
      <c r="A121" s="9" t="s">
        <v>48</v>
      </c>
      <c r="B121" s="9" t="s">
        <v>88</v>
      </c>
      <c r="C121" s="9">
        <v>66</v>
      </c>
      <c r="D121" s="9">
        <v>65</v>
      </c>
      <c r="E121" s="9">
        <v>4</v>
      </c>
      <c r="F121" s="26">
        <v>0.98484848484848486</v>
      </c>
      <c r="G121" s="24">
        <v>6.1538461538461542E-2</v>
      </c>
    </row>
    <row r="122" spans="1:7" x14ac:dyDescent="0.25">
      <c r="A122" s="9" t="s">
        <v>49</v>
      </c>
      <c r="B122" s="9" t="s">
        <v>83</v>
      </c>
      <c r="C122" s="9">
        <v>84</v>
      </c>
      <c r="D122" s="9">
        <v>83</v>
      </c>
      <c r="E122" s="9">
        <v>3</v>
      </c>
      <c r="F122" s="26">
        <v>0.98809523809523814</v>
      </c>
      <c r="G122" s="24">
        <v>3.614457831325301E-2</v>
      </c>
    </row>
    <row r="123" spans="1:7" x14ac:dyDescent="0.25">
      <c r="A123" s="9" t="s">
        <v>49</v>
      </c>
      <c r="B123" s="9" t="s">
        <v>84</v>
      </c>
      <c r="C123" s="9">
        <v>55</v>
      </c>
      <c r="D123" s="9">
        <v>51</v>
      </c>
      <c r="E123" s="9">
        <v>5</v>
      </c>
      <c r="F123" s="26">
        <v>0.92727272727272725</v>
      </c>
      <c r="G123" s="24">
        <v>9.8039215686274522E-2</v>
      </c>
    </row>
    <row r="124" spans="1:7" x14ac:dyDescent="0.25">
      <c r="A124" s="9" t="s">
        <v>49</v>
      </c>
      <c r="B124" s="9" t="s">
        <v>85</v>
      </c>
      <c r="C124" s="9">
        <v>59</v>
      </c>
      <c r="D124" s="9">
        <v>54</v>
      </c>
      <c r="E124" s="9">
        <v>2</v>
      </c>
      <c r="F124" s="26">
        <v>0.9152542372881356</v>
      </c>
      <c r="G124" s="24">
        <v>3.7037037037037035E-2</v>
      </c>
    </row>
    <row r="125" spans="1:7" x14ac:dyDescent="0.25">
      <c r="A125" s="9" t="s">
        <v>49</v>
      </c>
      <c r="B125" s="9" t="s">
        <v>86</v>
      </c>
      <c r="C125" s="9">
        <v>42</v>
      </c>
      <c r="D125" s="9">
        <v>36</v>
      </c>
      <c r="E125" s="9">
        <v>1</v>
      </c>
      <c r="F125" s="26">
        <v>0.8571428571428571</v>
      </c>
      <c r="G125" s="24">
        <v>2.7777777777777776E-2</v>
      </c>
    </row>
    <row r="126" spans="1:7" x14ac:dyDescent="0.25">
      <c r="A126" s="9" t="s">
        <v>49</v>
      </c>
      <c r="B126" s="9" t="s">
        <v>87</v>
      </c>
      <c r="C126" s="9">
        <v>53</v>
      </c>
      <c r="D126" s="9">
        <v>53</v>
      </c>
      <c r="E126" s="9">
        <v>4</v>
      </c>
      <c r="F126" s="26">
        <v>1</v>
      </c>
      <c r="G126" s="24">
        <v>7.5471698113207544E-2</v>
      </c>
    </row>
    <row r="127" spans="1:7" x14ac:dyDescent="0.25">
      <c r="A127" s="9" t="s">
        <v>49</v>
      </c>
      <c r="B127" s="9" t="s">
        <v>88</v>
      </c>
      <c r="C127" s="9">
        <v>43</v>
      </c>
      <c r="D127" s="9">
        <v>43</v>
      </c>
      <c r="E127" s="9">
        <v>5</v>
      </c>
      <c r="F127" s="26">
        <v>1</v>
      </c>
      <c r="G127" s="24">
        <v>0.11627906976744186</v>
      </c>
    </row>
    <row r="128" spans="1:7" x14ac:dyDescent="0.25">
      <c r="A128" s="9" t="s">
        <v>50</v>
      </c>
      <c r="B128" s="9" t="s">
        <v>83</v>
      </c>
      <c r="C128" s="9">
        <v>74</v>
      </c>
      <c r="D128" s="9">
        <v>68</v>
      </c>
      <c r="E128" s="9">
        <v>2</v>
      </c>
      <c r="F128" s="26">
        <v>0.91891891891891897</v>
      </c>
      <c r="G128" s="24">
        <v>2.9411764705882349E-2</v>
      </c>
    </row>
    <row r="129" spans="1:7" x14ac:dyDescent="0.25">
      <c r="A129" s="9" t="s">
        <v>50</v>
      </c>
      <c r="B129" s="9" t="s">
        <v>84</v>
      </c>
      <c r="C129" s="9">
        <v>51</v>
      </c>
      <c r="D129" s="9">
        <v>51</v>
      </c>
      <c r="E129" s="9">
        <v>0</v>
      </c>
      <c r="F129" s="26">
        <v>1</v>
      </c>
      <c r="G129" s="24">
        <v>0</v>
      </c>
    </row>
    <row r="130" spans="1:7" x14ac:dyDescent="0.25">
      <c r="A130" s="9" t="s">
        <v>50</v>
      </c>
      <c r="B130" s="9" t="s">
        <v>85</v>
      </c>
      <c r="C130" s="9">
        <v>55</v>
      </c>
      <c r="D130" s="9">
        <v>53</v>
      </c>
      <c r="E130" s="9">
        <v>5</v>
      </c>
      <c r="F130" s="26">
        <v>0.96363636363636362</v>
      </c>
      <c r="G130" s="24">
        <v>9.4339622641509441E-2</v>
      </c>
    </row>
    <row r="131" spans="1:7" x14ac:dyDescent="0.25">
      <c r="A131" s="9" t="s">
        <v>50</v>
      </c>
      <c r="B131" s="9" t="s">
        <v>86</v>
      </c>
      <c r="C131" s="9">
        <v>82</v>
      </c>
      <c r="D131" s="9">
        <v>78</v>
      </c>
      <c r="E131" s="9">
        <v>3</v>
      </c>
      <c r="F131" s="26">
        <v>0.95121951219512202</v>
      </c>
      <c r="G131" s="24">
        <v>3.8461538461538464E-2</v>
      </c>
    </row>
    <row r="132" spans="1:7" x14ac:dyDescent="0.25">
      <c r="A132" s="9" t="s">
        <v>50</v>
      </c>
      <c r="B132" s="9" t="s">
        <v>87</v>
      </c>
      <c r="C132" s="9">
        <v>67</v>
      </c>
      <c r="D132" s="9">
        <v>63</v>
      </c>
      <c r="E132" s="9">
        <v>2</v>
      </c>
      <c r="F132" s="26">
        <v>0.94029850746268662</v>
      </c>
      <c r="G132" s="24">
        <v>3.1746031746031744E-2</v>
      </c>
    </row>
    <row r="133" spans="1:7" x14ac:dyDescent="0.25">
      <c r="A133" s="9" t="s">
        <v>50</v>
      </c>
      <c r="B133" s="9" t="s">
        <v>88</v>
      </c>
      <c r="C133" s="9">
        <v>50</v>
      </c>
      <c r="D133" s="9">
        <v>48</v>
      </c>
      <c r="E133" s="9">
        <v>3</v>
      </c>
      <c r="F133" s="26">
        <v>0.96</v>
      </c>
      <c r="G133" s="24">
        <v>6.25E-2</v>
      </c>
    </row>
    <row r="134" spans="1:7" x14ac:dyDescent="0.25">
      <c r="A134" s="9" t="s">
        <v>51</v>
      </c>
      <c r="B134" s="9" t="s">
        <v>83</v>
      </c>
      <c r="C134" s="9">
        <v>49</v>
      </c>
      <c r="D134" s="9">
        <v>46</v>
      </c>
      <c r="E134" s="9">
        <v>0</v>
      </c>
      <c r="F134" s="26">
        <v>0.93877551020408168</v>
      </c>
      <c r="G134" s="24">
        <v>0</v>
      </c>
    </row>
    <row r="135" spans="1:7" x14ac:dyDescent="0.25">
      <c r="A135" s="9" t="s">
        <v>51</v>
      </c>
      <c r="B135" s="9" t="s">
        <v>84</v>
      </c>
      <c r="C135" s="9">
        <v>68</v>
      </c>
      <c r="D135" s="9">
        <v>67</v>
      </c>
      <c r="E135" s="9">
        <v>4</v>
      </c>
      <c r="F135" s="26">
        <v>0.98529411764705888</v>
      </c>
      <c r="G135" s="24">
        <v>5.9701492537313425E-2</v>
      </c>
    </row>
    <row r="136" spans="1:7" x14ac:dyDescent="0.25">
      <c r="A136" s="9" t="s">
        <v>51</v>
      </c>
      <c r="B136" s="9" t="s">
        <v>85</v>
      </c>
      <c r="C136" s="9">
        <v>65</v>
      </c>
      <c r="D136" s="9">
        <v>61</v>
      </c>
      <c r="E136" s="9">
        <v>2</v>
      </c>
      <c r="F136" s="26">
        <v>0.93846153846153835</v>
      </c>
      <c r="G136" s="24">
        <v>3.2786885245901641E-2</v>
      </c>
    </row>
    <row r="137" spans="1:7" x14ac:dyDescent="0.25">
      <c r="A137" s="9" t="s">
        <v>51</v>
      </c>
      <c r="B137" s="9" t="s">
        <v>86</v>
      </c>
      <c r="C137" s="9">
        <v>65</v>
      </c>
      <c r="D137" s="9">
        <v>63</v>
      </c>
      <c r="E137" s="9">
        <v>5</v>
      </c>
      <c r="F137" s="26">
        <v>0.96923076923076923</v>
      </c>
      <c r="G137" s="24">
        <v>7.9365079365079361E-2</v>
      </c>
    </row>
    <row r="138" spans="1:7" x14ac:dyDescent="0.25">
      <c r="A138" s="9" t="s">
        <v>51</v>
      </c>
      <c r="B138" s="9" t="s">
        <v>87</v>
      </c>
      <c r="C138" s="9">
        <v>42</v>
      </c>
      <c r="D138" s="9">
        <v>38</v>
      </c>
      <c r="E138" s="9">
        <v>4</v>
      </c>
      <c r="F138" s="26">
        <v>0.90476190476190477</v>
      </c>
      <c r="G138" s="24">
        <v>0.10526315789473684</v>
      </c>
    </row>
    <row r="139" spans="1:7" x14ac:dyDescent="0.25">
      <c r="A139" s="9" t="s">
        <v>51</v>
      </c>
      <c r="B139" s="9" t="s">
        <v>88</v>
      </c>
      <c r="C139" s="9">
        <v>81</v>
      </c>
      <c r="D139" s="9">
        <v>76</v>
      </c>
      <c r="E139" s="9">
        <v>5</v>
      </c>
      <c r="F139" s="26">
        <v>0.93827160493827155</v>
      </c>
      <c r="G139" s="24">
        <v>6.5789473684210523E-2</v>
      </c>
    </row>
    <row r="140" spans="1:7" x14ac:dyDescent="0.25">
      <c r="A140" s="9" t="s">
        <v>52</v>
      </c>
      <c r="B140" s="9" t="s">
        <v>83</v>
      </c>
      <c r="C140" s="9">
        <v>82</v>
      </c>
      <c r="D140" s="9">
        <v>76</v>
      </c>
      <c r="E140" s="9">
        <v>5</v>
      </c>
      <c r="F140" s="26">
        <v>0.92682926829268297</v>
      </c>
      <c r="G140" s="24">
        <v>6.5789473684210523E-2</v>
      </c>
    </row>
    <row r="141" spans="1:7" x14ac:dyDescent="0.25">
      <c r="A141" s="9" t="s">
        <v>52</v>
      </c>
      <c r="B141" s="9" t="s">
        <v>84</v>
      </c>
      <c r="C141" s="9">
        <v>43</v>
      </c>
      <c r="D141" s="9">
        <v>37</v>
      </c>
      <c r="E141" s="9">
        <v>1</v>
      </c>
      <c r="F141" s="26">
        <v>0.86046511627906985</v>
      </c>
      <c r="G141" s="24">
        <v>2.7027027027027025E-2</v>
      </c>
    </row>
    <row r="142" spans="1:7" x14ac:dyDescent="0.25">
      <c r="A142" s="9" t="s">
        <v>52</v>
      </c>
      <c r="B142" s="9" t="s">
        <v>85</v>
      </c>
      <c r="C142" s="9">
        <v>33</v>
      </c>
      <c r="D142" s="9">
        <v>33</v>
      </c>
      <c r="E142" s="9">
        <v>2</v>
      </c>
      <c r="F142" s="26">
        <v>1</v>
      </c>
      <c r="G142" s="24">
        <v>6.0606060606060608E-2</v>
      </c>
    </row>
    <row r="143" spans="1:7" x14ac:dyDescent="0.25">
      <c r="A143" s="9" t="s">
        <v>52</v>
      </c>
      <c r="B143" s="9" t="s">
        <v>86</v>
      </c>
      <c r="C143" s="9">
        <v>67</v>
      </c>
      <c r="D143" s="9">
        <v>65</v>
      </c>
      <c r="E143" s="9">
        <v>3</v>
      </c>
      <c r="F143" s="26">
        <v>0.97014925373134331</v>
      </c>
      <c r="G143" s="24">
        <v>4.6153846153846156E-2</v>
      </c>
    </row>
    <row r="144" spans="1:7" x14ac:dyDescent="0.25">
      <c r="A144" s="9" t="s">
        <v>52</v>
      </c>
      <c r="B144" s="9" t="s">
        <v>87</v>
      </c>
      <c r="C144" s="9">
        <v>67</v>
      </c>
      <c r="D144" s="9">
        <v>66</v>
      </c>
      <c r="E144" s="9">
        <v>3</v>
      </c>
      <c r="F144" s="26">
        <v>0.98507462686567171</v>
      </c>
      <c r="G144" s="24">
        <v>4.5454545454545456E-2</v>
      </c>
    </row>
    <row r="145" spans="1:7" x14ac:dyDescent="0.25">
      <c r="A145" s="9" t="s">
        <v>52</v>
      </c>
      <c r="B145" s="9" t="s">
        <v>88</v>
      </c>
      <c r="C145" s="9">
        <v>52</v>
      </c>
      <c r="D145" s="9">
        <v>49</v>
      </c>
      <c r="E145" s="9">
        <v>4</v>
      </c>
      <c r="F145" s="26">
        <v>0.94230769230769229</v>
      </c>
      <c r="G145" s="24">
        <v>8.1632653061224497E-2</v>
      </c>
    </row>
    <row r="146" spans="1:7" x14ac:dyDescent="0.25">
      <c r="A146" s="9" t="s">
        <v>53</v>
      </c>
      <c r="B146" s="9" t="s">
        <v>83</v>
      </c>
      <c r="C146" s="9">
        <v>32</v>
      </c>
      <c r="D146" s="9">
        <v>31</v>
      </c>
      <c r="E146" s="9">
        <v>4</v>
      </c>
      <c r="F146" s="26">
        <v>0.96875</v>
      </c>
      <c r="G146" s="24">
        <v>0.12903225806451613</v>
      </c>
    </row>
    <row r="147" spans="1:7" x14ac:dyDescent="0.25">
      <c r="A147" s="9" t="s">
        <v>53</v>
      </c>
      <c r="B147" s="9" t="s">
        <v>84</v>
      </c>
      <c r="C147" s="9">
        <v>33</v>
      </c>
      <c r="D147" s="9">
        <v>30</v>
      </c>
      <c r="E147" s="9">
        <v>1</v>
      </c>
      <c r="F147" s="26">
        <v>0.90909090909090906</v>
      </c>
      <c r="G147" s="24">
        <v>3.3333333333333333E-2</v>
      </c>
    </row>
    <row r="148" spans="1:7" x14ac:dyDescent="0.25">
      <c r="A148" s="9" t="s">
        <v>53</v>
      </c>
      <c r="B148" s="9" t="s">
        <v>85</v>
      </c>
      <c r="C148" s="9">
        <v>79</v>
      </c>
      <c r="D148" s="9">
        <v>74</v>
      </c>
      <c r="E148" s="9">
        <v>2</v>
      </c>
      <c r="F148" s="26">
        <v>0.93670886075949367</v>
      </c>
      <c r="G148" s="24">
        <v>2.7027027027027025E-2</v>
      </c>
    </row>
    <row r="149" spans="1:7" x14ac:dyDescent="0.25">
      <c r="A149" s="9" t="s">
        <v>53</v>
      </c>
      <c r="B149" s="9" t="s">
        <v>86</v>
      </c>
      <c r="C149" s="9">
        <v>69</v>
      </c>
      <c r="D149" s="9">
        <v>68</v>
      </c>
      <c r="E149" s="9">
        <v>0</v>
      </c>
      <c r="F149" s="26">
        <v>0.98550724637681175</v>
      </c>
      <c r="G149" s="24">
        <v>0</v>
      </c>
    </row>
    <row r="150" spans="1:7" x14ac:dyDescent="0.25">
      <c r="A150" s="9" t="s">
        <v>53</v>
      </c>
      <c r="B150" s="9" t="s">
        <v>87</v>
      </c>
      <c r="C150" s="9">
        <v>56</v>
      </c>
      <c r="D150" s="9">
        <v>56</v>
      </c>
      <c r="E150" s="9">
        <v>2</v>
      </c>
      <c r="F150" s="26">
        <v>1</v>
      </c>
      <c r="G150" s="24">
        <v>3.5714285714285712E-2</v>
      </c>
    </row>
    <row r="151" spans="1:7" x14ac:dyDescent="0.25">
      <c r="A151" s="9" t="s">
        <v>53</v>
      </c>
      <c r="B151" s="9" t="s">
        <v>88</v>
      </c>
      <c r="C151" s="9">
        <v>37</v>
      </c>
      <c r="D151" s="9">
        <v>34</v>
      </c>
      <c r="E151" s="9">
        <v>2</v>
      </c>
      <c r="F151" s="26">
        <v>0.91891891891891897</v>
      </c>
      <c r="G151" s="24">
        <v>5.8823529411764698E-2</v>
      </c>
    </row>
    <row r="152" spans="1:7" x14ac:dyDescent="0.25">
      <c r="A152" s="9" t="s">
        <v>54</v>
      </c>
      <c r="B152" s="9" t="s">
        <v>83</v>
      </c>
      <c r="C152" s="9">
        <v>47</v>
      </c>
      <c r="D152" s="9">
        <v>42</v>
      </c>
      <c r="E152" s="9">
        <v>1</v>
      </c>
      <c r="F152" s="26">
        <v>0.8936170212765957</v>
      </c>
      <c r="G152" s="24">
        <v>2.3809523809523808E-2</v>
      </c>
    </row>
    <row r="153" spans="1:7" x14ac:dyDescent="0.25">
      <c r="A153" s="9" t="s">
        <v>54</v>
      </c>
      <c r="B153" s="9" t="s">
        <v>84</v>
      </c>
      <c r="C153" s="9">
        <v>58</v>
      </c>
      <c r="D153" s="9">
        <v>55</v>
      </c>
      <c r="E153" s="9">
        <v>5</v>
      </c>
      <c r="F153" s="26">
        <v>0.94827586206896552</v>
      </c>
      <c r="G153" s="24">
        <v>9.0909090909090912E-2</v>
      </c>
    </row>
    <row r="154" spans="1:7" x14ac:dyDescent="0.25">
      <c r="A154" s="9" t="s">
        <v>54</v>
      </c>
      <c r="B154" s="9" t="s">
        <v>85</v>
      </c>
      <c r="C154" s="9">
        <v>46</v>
      </c>
      <c r="D154" s="9">
        <v>42</v>
      </c>
      <c r="E154" s="9">
        <v>1</v>
      </c>
      <c r="F154" s="26">
        <v>0.91304347826086951</v>
      </c>
      <c r="G154" s="24">
        <v>2.3809523809523808E-2</v>
      </c>
    </row>
    <row r="155" spans="1:7" x14ac:dyDescent="0.25">
      <c r="A155" s="9" t="s">
        <v>54</v>
      </c>
      <c r="B155" s="9" t="s">
        <v>86</v>
      </c>
      <c r="C155" s="9">
        <v>32</v>
      </c>
      <c r="D155" s="9">
        <v>32</v>
      </c>
      <c r="E155" s="9">
        <v>0</v>
      </c>
      <c r="F155" s="26">
        <v>1</v>
      </c>
      <c r="G155" s="24">
        <v>0</v>
      </c>
    </row>
    <row r="156" spans="1:7" x14ac:dyDescent="0.25">
      <c r="A156" s="9" t="s">
        <v>54</v>
      </c>
      <c r="B156" s="9" t="s">
        <v>87</v>
      </c>
      <c r="C156" s="9">
        <v>58</v>
      </c>
      <c r="D156" s="9">
        <v>58</v>
      </c>
      <c r="E156" s="9">
        <v>3</v>
      </c>
      <c r="F156" s="26">
        <v>1</v>
      </c>
      <c r="G156" s="24">
        <v>5.1724137931034482E-2</v>
      </c>
    </row>
    <row r="157" spans="1:7" x14ac:dyDescent="0.25">
      <c r="A157" s="9" t="s">
        <v>54</v>
      </c>
      <c r="B157" s="9" t="s">
        <v>88</v>
      </c>
      <c r="C157" s="9">
        <v>66</v>
      </c>
      <c r="D157" s="9">
        <v>61</v>
      </c>
      <c r="E157" s="9">
        <v>1</v>
      </c>
      <c r="F157" s="26">
        <v>0.9242424242424242</v>
      </c>
      <c r="G157" s="24">
        <v>1.6393442622950821E-2</v>
      </c>
    </row>
    <row r="158" spans="1:7" x14ac:dyDescent="0.25">
      <c r="A158" s="9" t="s">
        <v>55</v>
      </c>
      <c r="B158" s="9" t="s">
        <v>83</v>
      </c>
      <c r="C158" s="9">
        <v>48</v>
      </c>
      <c r="D158" s="9">
        <v>43</v>
      </c>
      <c r="E158" s="9">
        <v>0</v>
      </c>
      <c r="F158" s="26">
        <v>0.89583333333333348</v>
      </c>
      <c r="G158" s="24">
        <v>0</v>
      </c>
    </row>
    <row r="159" spans="1:7" x14ac:dyDescent="0.25">
      <c r="A159" s="9" t="s">
        <v>55</v>
      </c>
      <c r="B159" s="9" t="s">
        <v>84</v>
      </c>
      <c r="C159" s="9">
        <v>65</v>
      </c>
      <c r="D159" s="9">
        <v>59</v>
      </c>
      <c r="E159" s="9">
        <v>0</v>
      </c>
      <c r="F159" s="26">
        <v>0.90769230769230769</v>
      </c>
      <c r="G159" s="24">
        <v>0</v>
      </c>
    </row>
    <row r="160" spans="1:7" x14ac:dyDescent="0.25">
      <c r="A160" s="9" t="s">
        <v>55</v>
      </c>
      <c r="B160" s="9" t="s">
        <v>85</v>
      </c>
      <c r="C160" s="9">
        <v>81</v>
      </c>
      <c r="D160" s="9">
        <v>81</v>
      </c>
      <c r="E160" s="9">
        <v>5</v>
      </c>
      <c r="F160" s="26">
        <v>1</v>
      </c>
      <c r="G160" s="24">
        <v>6.1728395061728392E-2</v>
      </c>
    </row>
    <row r="161" spans="1:7" x14ac:dyDescent="0.25">
      <c r="A161" s="9" t="s">
        <v>55</v>
      </c>
      <c r="B161" s="9" t="s">
        <v>86</v>
      </c>
      <c r="C161" s="9">
        <v>61</v>
      </c>
      <c r="D161" s="9">
        <v>55</v>
      </c>
      <c r="E161" s="9">
        <v>2</v>
      </c>
      <c r="F161" s="26">
        <v>0.90163934426229497</v>
      </c>
      <c r="G161" s="24">
        <v>3.6363636363636362E-2</v>
      </c>
    </row>
    <row r="162" spans="1:7" x14ac:dyDescent="0.25">
      <c r="A162" s="9" t="s">
        <v>55</v>
      </c>
      <c r="B162" s="9" t="s">
        <v>87</v>
      </c>
      <c r="C162" s="9">
        <v>30</v>
      </c>
      <c r="D162" s="9">
        <v>26</v>
      </c>
      <c r="E162" s="9">
        <v>3</v>
      </c>
      <c r="F162" s="26">
        <v>0.8666666666666667</v>
      </c>
      <c r="G162" s="24">
        <v>0.11538461538461538</v>
      </c>
    </row>
    <row r="163" spans="1:7" x14ac:dyDescent="0.25">
      <c r="A163" s="9" t="s">
        <v>55</v>
      </c>
      <c r="B163" s="9" t="s">
        <v>88</v>
      </c>
      <c r="C163" s="9">
        <v>75</v>
      </c>
      <c r="D163" s="9">
        <v>70</v>
      </c>
      <c r="E163" s="9">
        <v>0</v>
      </c>
      <c r="F163" s="26">
        <v>0.93333333333333324</v>
      </c>
      <c r="G163" s="24">
        <v>0</v>
      </c>
    </row>
    <row r="164" spans="1:7" x14ac:dyDescent="0.25">
      <c r="A164" s="9" t="s">
        <v>56</v>
      </c>
      <c r="B164" s="9" t="s">
        <v>83</v>
      </c>
      <c r="C164" s="9">
        <v>62</v>
      </c>
      <c r="D164" s="9">
        <v>61</v>
      </c>
      <c r="E164" s="9">
        <v>0</v>
      </c>
      <c r="F164" s="26">
        <v>0.9838709677419355</v>
      </c>
      <c r="G164" s="24">
        <v>0</v>
      </c>
    </row>
    <row r="165" spans="1:7" x14ac:dyDescent="0.25">
      <c r="A165" s="9" t="s">
        <v>56</v>
      </c>
      <c r="B165" s="9" t="s">
        <v>84</v>
      </c>
      <c r="C165" s="9">
        <v>44</v>
      </c>
      <c r="D165" s="9">
        <v>44</v>
      </c>
      <c r="E165" s="9">
        <v>4</v>
      </c>
      <c r="F165" s="26">
        <v>1</v>
      </c>
      <c r="G165" s="24">
        <v>9.0909090909090912E-2</v>
      </c>
    </row>
    <row r="166" spans="1:7" x14ac:dyDescent="0.25">
      <c r="A166" s="9" t="s">
        <v>56</v>
      </c>
      <c r="B166" s="9" t="s">
        <v>85</v>
      </c>
      <c r="C166" s="9">
        <v>43</v>
      </c>
      <c r="D166" s="9">
        <v>39</v>
      </c>
      <c r="E166" s="9">
        <v>5</v>
      </c>
      <c r="F166" s="26">
        <v>0.90697674418604646</v>
      </c>
      <c r="G166" s="24">
        <v>0.12820512820512819</v>
      </c>
    </row>
    <row r="167" spans="1:7" x14ac:dyDescent="0.25">
      <c r="A167" s="9" t="s">
        <v>56</v>
      </c>
      <c r="B167" s="9" t="s">
        <v>86</v>
      </c>
      <c r="C167" s="9">
        <v>71</v>
      </c>
      <c r="D167" s="9">
        <v>71</v>
      </c>
      <c r="E167" s="9">
        <v>0</v>
      </c>
      <c r="F167" s="26">
        <v>1</v>
      </c>
      <c r="G167" s="24">
        <v>0</v>
      </c>
    </row>
    <row r="168" spans="1:7" x14ac:dyDescent="0.25">
      <c r="A168" s="9" t="s">
        <v>56</v>
      </c>
      <c r="B168" s="9" t="s">
        <v>87</v>
      </c>
      <c r="C168" s="9">
        <v>75</v>
      </c>
      <c r="D168" s="9">
        <v>72</v>
      </c>
      <c r="E168" s="9">
        <v>0</v>
      </c>
      <c r="F168" s="26">
        <v>0.96</v>
      </c>
      <c r="G168" s="24">
        <v>0</v>
      </c>
    </row>
    <row r="169" spans="1:7" x14ac:dyDescent="0.25">
      <c r="A169" s="9" t="s">
        <v>56</v>
      </c>
      <c r="B169" s="9" t="s">
        <v>88</v>
      </c>
      <c r="C169" s="9">
        <v>79</v>
      </c>
      <c r="D169" s="9">
        <v>74</v>
      </c>
      <c r="E169" s="9">
        <v>4</v>
      </c>
      <c r="F169" s="26">
        <v>0.93670886075949367</v>
      </c>
      <c r="G169" s="24">
        <v>5.405405405405405E-2</v>
      </c>
    </row>
    <row r="170" spans="1:7" x14ac:dyDescent="0.25">
      <c r="A170" s="9" t="s">
        <v>57</v>
      </c>
      <c r="B170" s="9" t="s">
        <v>83</v>
      </c>
      <c r="C170" s="9">
        <v>72</v>
      </c>
      <c r="D170" s="9">
        <v>70</v>
      </c>
      <c r="E170" s="9">
        <v>2</v>
      </c>
      <c r="F170" s="26">
        <v>0.9722222222222221</v>
      </c>
      <c r="G170" s="24">
        <v>2.8571428571428571E-2</v>
      </c>
    </row>
    <row r="171" spans="1:7" x14ac:dyDescent="0.25">
      <c r="A171" s="9" t="s">
        <v>57</v>
      </c>
      <c r="B171" s="9" t="s">
        <v>84</v>
      </c>
      <c r="C171" s="9">
        <v>64</v>
      </c>
      <c r="D171" s="9">
        <v>60</v>
      </c>
      <c r="E171" s="9">
        <v>0</v>
      </c>
      <c r="F171" s="26">
        <v>0.9375</v>
      </c>
      <c r="G171" s="24">
        <v>0</v>
      </c>
    </row>
    <row r="172" spans="1:7" x14ac:dyDescent="0.25">
      <c r="A172" s="9" t="s">
        <v>57</v>
      </c>
      <c r="B172" s="9" t="s">
        <v>85</v>
      </c>
      <c r="C172" s="9">
        <v>61</v>
      </c>
      <c r="D172" s="9">
        <v>60</v>
      </c>
      <c r="E172" s="9">
        <v>0</v>
      </c>
      <c r="F172" s="26">
        <v>0.98360655737704916</v>
      </c>
      <c r="G172" s="24">
        <v>0</v>
      </c>
    </row>
    <row r="173" spans="1:7" x14ac:dyDescent="0.25">
      <c r="A173" s="9" t="s">
        <v>57</v>
      </c>
      <c r="B173" s="9" t="s">
        <v>86</v>
      </c>
      <c r="C173" s="9">
        <v>54</v>
      </c>
      <c r="D173" s="9">
        <v>53</v>
      </c>
      <c r="E173" s="9">
        <v>4</v>
      </c>
      <c r="F173" s="26">
        <v>0.98148148148148151</v>
      </c>
      <c r="G173" s="24">
        <v>7.5471698113207544E-2</v>
      </c>
    </row>
    <row r="174" spans="1:7" x14ac:dyDescent="0.25">
      <c r="A174" s="9" t="s">
        <v>57</v>
      </c>
      <c r="B174" s="9" t="s">
        <v>87</v>
      </c>
      <c r="C174" s="9">
        <v>41</v>
      </c>
      <c r="D174" s="9">
        <v>38</v>
      </c>
      <c r="E174" s="9">
        <v>4</v>
      </c>
      <c r="F174" s="26">
        <v>0.92682926829268297</v>
      </c>
      <c r="G174" s="24">
        <v>0.10526315789473684</v>
      </c>
    </row>
    <row r="175" spans="1:7" x14ac:dyDescent="0.25">
      <c r="A175" s="9" t="s">
        <v>57</v>
      </c>
      <c r="B175" s="9" t="s">
        <v>88</v>
      </c>
      <c r="C175" s="9">
        <v>49</v>
      </c>
      <c r="D175" s="9">
        <v>48</v>
      </c>
      <c r="E175" s="9">
        <v>0</v>
      </c>
      <c r="F175" s="26">
        <v>0.97959183673469385</v>
      </c>
      <c r="G175" s="24">
        <v>0</v>
      </c>
    </row>
    <row r="176" spans="1:7" x14ac:dyDescent="0.25">
      <c r="A176" s="9" t="s">
        <v>58</v>
      </c>
      <c r="B176" s="9" t="s">
        <v>83</v>
      </c>
      <c r="C176" s="9">
        <v>35</v>
      </c>
      <c r="D176" s="9">
        <v>29</v>
      </c>
      <c r="E176" s="9">
        <v>5</v>
      </c>
      <c r="F176" s="26">
        <v>0.82857142857142863</v>
      </c>
      <c r="G176" s="24">
        <v>0.17241379310344829</v>
      </c>
    </row>
    <row r="177" spans="1:7" x14ac:dyDescent="0.25">
      <c r="A177" s="9" t="s">
        <v>58</v>
      </c>
      <c r="B177" s="9" t="s">
        <v>84</v>
      </c>
      <c r="C177" s="9">
        <v>78</v>
      </c>
      <c r="D177" s="9">
        <v>73</v>
      </c>
      <c r="E177" s="9">
        <v>1</v>
      </c>
      <c r="F177" s="26">
        <v>0.9358974358974359</v>
      </c>
      <c r="G177" s="24">
        <v>1.3698630136986301E-2</v>
      </c>
    </row>
    <row r="178" spans="1:7" x14ac:dyDescent="0.25">
      <c r="A178" s="9" t="s">
        <v>58</v>
      </c>
      <c r="B178" s="9" t="s">
        <v>85</v>
      </c>
      <c r="C178" s="9">
        <v>76</v>
      </c>
      <c r="D178" s="9">
        <v>74</v>
      </c>
      <c r="E178" s="9">
        <v>4</v>
      </c>
      <c r="F178" s="26">
        <v>0.97368421052631571</v>
      </c>
      <c r="G178" s="24">
        <v>5.405405405405405E-2</v>
      </c>
    </row>
    <row r="179" spans="1:7" x14ac:dyDescent="0.25">
      <c r="A179" s="9" t="s">
        <v>58</v>
      </c>
      <c r="B179" s="9" t="s">
        <v>86</v>
      </c>
      <c r="C179" s="9">
        <v>53</v>
      </c>
      <c r="D179" s="9">
        <v>53</v>
      </c>
      <c r="E179" s="9">
        <v>1</v>
      </c>
      <c r="F179" s="26">
        <v>1</v>
      </c>
      <c r="G179" s="24">
        <v>1.8867924528301886E-2</v>
      </c>
    </row>
    <row r="180" spans="1:7" x14ac:dyDescent="0.25">
      <c r="A180" s="9" t="s">
        <v>58</v>
      </c>
      <c r="B180" s="9" t="s">
        <v>87</v>
      </c>
      <c r="C180" s="9">
        <v>79</v>
      </c>
      <c r="D180" s="9">
        <v>75</v>
      </c>
      <c r="E180" s="9">
        <v>1</v>
      </c>
      <c r="F180" s="26">
        <v>0.949367088607595</v>
      </c>
      <c r="G180" s="24">
        <v>1.3333333333333334E-2</v>
      </c>
    </row>
    <row r="181" spans="1:7" x14ac:dyDescent="0.25">
      <c r="A181" s="9" t="s">
        <v>58</v>
      </c>
      <c r="B181" s="9" t="s">
        <v>88</v>
      </c>
      <c r="C181" s="9">
        <v>44</v>
      </c>
      <c r="D181" s="9">
        <v>38</v>
      </c>
      <c r="E181" s="9">
        <v>5</v>
      </c>
      <c r="F181" s="26">
        <v>0.86363636363636365</v>
      </c>
      <c r="G181" s="24">
        <v>0.13157894736842105</v>
      </c>
    </row>
    <row r="182" spans="1:7" x14ac:dyDescent="0.25">
      <c r="A182" s="9" t="s">
        <v>59</v>
      </c>
      <c r="B182" s="9" t="s">
        <v>83</v>
      </c>
      <c r="C182" s="9">
        <v>47</v>
      </c>
      <c r="D182" s="9">
        <v>45</v>
      </c>
      <c r="E182" s="9">
        <v>0</v>
      </c>
      <c r="F182" s="26">
        <v>0.95744680851063835</v>
      </c>
      <c r="G182" s="24">
        <v>0</v>
      </c>
    </row>
    <row r="183" spans="1:7" x14ac:dyDescent="0.25">
      <c r="A183" s="9" t="s">
        <v>59</v>
      </c>
      <c r="B183" s="9" t="s">
        <v>84</v>
      </c>
      <c r="C183" s="9">
        <v>39</v>
      </c>
      <c r="D183" s="9">
        <v>37</v>
      </c>
      <c r="E183" s="9">
        <v>2</v>
      </c>
      <c r="F183" s="26">
        <v>0.94871794871794857</v>
      </c>
      <c r="G183" s="24">
        <v>5.405405405405405E-2</v>
      </c>
    </row>
    <row r="184" spans="1:7" x14ac:dyDescent="0.25">
      <c r="A184" s="9" t="s">
        <v>59</v>
      </c>
      <c r="B184" s="9" t="s">
        <v>85</v>
      </c>
      <c r="C184" s="9">
        <v>65</v>
      </c>
      <c r="D184" s="9">
        <v>60</v>
      </c>
      <c r="E184" s="9">
        <v>3</v>
      </c>
      <c r="F184" s="26">
        <v>0.92307692307692302</v>
      </c>
      <c r="G184" s="24">
        <v>0.05</v>
      </c>
    </row>
    <row r="185" spans="1:7" x14ac:dyDescent="0.25">
      <c r="A185" s="9" t="s">
        <v>59</v>
      </c>
      <c r="B185" s="9" t="s">
        <v>86</v>
      </c>
      <c r="C185" s="9">
        <v>62</v>
      </c>
      <c r="D185" s="9">
        <v>60</v>
      </c>
      <c r="E185" s="9">
        <v>0</v>
      </c>
      <c r="F185" s="26">
        <v>0.967741935483871</v>
      </c>
      <c r="G185" s="24">
        <v>0</v>
      </c>
    </row>
    <row r="186" spans="1:7" x14ac:dyDescent="0.25">
      <c r="A186" s="9" t="s">
        <v>59</v>
      </c>
      <c r="B186" s="9" t="s">
        <v>87</v>
      </c>
      <c r="C186" s="9">
        <v>34</v>
      </c>
      <c r="D186" s="9">
        <v>29</v>
      </c>
      <c r="E186" s="9">
        <v>4</v>
      </c>
      <c r="F186" s="26">
        <v>0.85294117647058831</v>
      </c>
      <c r="G186" s="24">
        <v>0.13793103448275862</v>
      </c>
    </row>
    <row r="187" spans="1:7" x14ac:dyDescent="0.25">
      <c r="A187" s="9" t="s">
        <v>59</v>
      </c>
      <c r="B187" s="9" t="s">
        <v>88</v>
      </c>
      <c r="C187" s="9">
        <v>58</v>
      </c>
      <c r="D187" s="9">
        <v>54</v>
      </c>
      <c r="E187" s="9">
        <v>2</v>
      </c>
      <c r="F187" s="26">
        <v>0.93103448275862066</v>
      </c>
      <c r="G187" s="24">
        <v>3.7037037037037035E-2</v>
      </c>
    </row>
    <row r="188" spans="1:7" x14ac:dyDescent="0.25">
      <c r="A188" s="9" t="s">
        <v>60</v>
      </c>
      <c r="B188" s="9" t="s">
        <v>83</v>
      </c>
      <c r="C188" s="9">
        <v>51</v>
      </c>
      <c r="D188" s="9">
        <v>51</v>
      </c>
      <c r="E188" s="9">
        <v>3</v>
      </c>
      <c r="F188" s="26">
        <v>1</v>
      </c>
      <c r="G188" s="24">
        <v>5.8823529411764698E-2</v>
      </c>
    </row>
    <row r="189" spans="1:7" x14ac:dyDescent="0.25">
      <c r="A189" s="9" t="s">
        <v>60</v>
      </c>
      <c r="B189" s="9" t="s">
        <v>84</v>
      </c>
      <c r="C189" s="9">
        <v>48</v>
      </c>
      <c r="D189" s="9">
        <v>45</v>
      </c>
      <c r="E189" s="9">
        <v>3</v>
      </c>
      <c r="F189" s="26">
        <v>0.9375</v>
      </c>
      <c r="G189" s="24">
        <v>6.6666666666666666E-2</v>
      </c>
    </row>
    <row r="190" spans="1:7" x14ac:dyDescent="0.25">
      <c r="A190" s="9" t="s">
        <v>60</v>
      </c>
      <c r="B190" s="9" t="s">
        <v>85</v>
      </c>
      <c r="C190" s="9">
        <v>46</v>
      </c>
      <c r="D190" s="9">
        <v>41</v>
      </c>
      <c r="E190" s="9">
        <v>0</v>
      </c>
      <c r="F190" s="26">
        <v>0.89130434782608692</v>
      </c>
      <c r="G190" s="24">
        <v>0</v>
      </c>
    </row>
    <row r="191" spans="1:7" x14ac:dyDescent="0.25">
      <c r="A191" s="9" t="s">
        <v>60</v>
      </c>
      <c r="B191" s="9" t="s">
        <v>86</v>
      </c>
      <c r="C191" s="9">
        <v>34</v>
      </c>
      <c r="D191" s="9">
        <v>32</v>
      </c>
      <c r="E191" s="9">
        <v>0</v>
      </c>
      <c r="F191" s="26">
        <v>0.94117647058823517</v>
      </c>
      <c r="G191" s="24">
        <v>0</v>
      </c>
    </row>
    <row r="192" spans="1:7" x14ac:dyDescent="0.25">
      <c r="A192" s="9" t="s">
        <v>60</v>
      </c>
      <c r="B192" s="9" t="s">
        <v>87</v>
      </c>
      <c r="C192" s="9">
        <v>74</v>
      </c>
      <c r="D192" s="9">
        <v>68</v>
      </c>
      <c r="E192" s="9">
        <v>1</v>
      </c>
      <c r="F192" s="26">
        <v>0.91891891891891897</v>
      </c>
      <c r="G192" s="24">
        <v>1.4705882352941175E-2</v>
      </c>
    </row>
    <row r="193" spans="1:7" x14ac:dyDescent="0.25">
      <c r="A193" s="9" t="s">
        <v>60</v>
      </c>
      <c r="B193" s="9" t="s">
        <v>88</v>
      </c>
      <c r="C193" s="9">
        <v>36</v>
      </c>
      <c r="D193" s="9">
        <v>32</v>
      </c>
      <c r="E193" s="9">
        <v>3</v>
      </c>
      <c r="F193" s="26">
        <v>0.88888888888888884</v>
      </c>
      <c r="G193" s="24">
        <v>9.375E-2</v>
      </c>
    </row>
    <row r="194" spans="1:7" x14ac:dyDescent="0.25">
      <c r="A194" s="9" t="s">
        <v>61</v>
      </c>
      <c r="B194" s="9" t="s">
        <v>83</v>
      </c>
      <c r="C194" s="9">
        <v>52</v>
      </c>
      <c r="D194" s="9">
        <v>49</v>
      </c>
      <c r="E194" s="9">
        <v>3</v>
      </c>
      <c r="F194" s="26">
        <v>0.94230769230769229</v>
      </c>
      <c r="G194" s="24">
        <v>6.1224489795918366E-2</v>
      </c>
    </row>
    <row r="195" spans="1:7" x14ac:dyDescent="0.25">
      <c r="A195" s="9" t="s">
        <v>61</v>
      </c>
      <c r="B195" s="9" t="s">
        <v>84</v>
      </c>
      <c r="C195" s="9">
        <v>32</v>
      </c>
      <c r="D195" s="9">
        <v>28</v>
      </c>
      <c r="E195" s="9">
        <v>3</v>
      </c>
      <c r="F195" s="26">
        <v>0.875</v>
      </c>
      <c r="G195" s="24">
        <v>0.10714285714285714</v>
      </c>
    </row>
    <row r="196" spans="1:7" x14ac:dyDescent="0.25">
      <c r="A196" s="9" t="s">
        <v>61</v>
      </c>
      <c r="B196" s="9" t="s">
        <v>85</v>
      </c>
      <c r="C196" s="9">
        <v>52</v>
      </c>
      <c r="D196" s="9">
        <v>51</v>
      </c>
      <c r="E196" s="9">
        <v>1</v>
      </c>
      <c r="F196" s="26">
        <v>0.98076923076923062</v>
      </c>
      <c r="G196" s="24">
        <v>1.9607843137254902E-2</v>
      </c>
    </row>
    <row r="197" spans="1:7" x14ac:dyDescent="0.25">
      <c r="A197" s="9" t="s">
        <v>61</v>
      </c>
      <c r="B197" s="9" t="s">
        <v>86</v>
      </c>
      <c r="C197" s="9">
        <v>76</v>
      </c>
      <c r="D197" s="9">
        <v>76</v>
      </c>
      <c r="E197" s="9">
        <v>4</v>
      </c>
      <c r="F197" s="26">
        <v>1</v>
      </c>
      <c r="G197" s="24">
        <v>5.2631578947368418E-2</v>
      </c>
    </row>
    <row r="198" spans="1:7" x14ac:dyDescent="0.25">
      <c r="A198" s="9" t="s">
        <v>61</v>
      </c>
      <c r="B198" s="9" t="s">
        <v>87</v>
      </c>
      <c r="C198" s="9">
        <v>56</v>
      </c>
      <c r="D198" s="9">
        <v>52</v>
      </c>
      <c r="E198" s="9">
        <v>0</v>
      </c>
      <c r="F198" s="26">
        <v>0.9285714285714286</v>
      </c>
      <c r="G198" s="24">
        <v>0</v>
      </c>
    </row>
    <row r="199" spans="1:7" x14ac:dyDescent="0.25">
      <c r="A199" s="9" t="s">
        <v>61</v>
      </c>
      <c r="B199" s="9" t="s">
        <v>88</v>
      </c>
      <c r="C199" s="9">
        <v>49</v>
      </c>
      <c r="D199" s="9">
        <v>44</v>
      </c>
      <c r="E199" s="9">
        <v>4</v>
      </c>
      <c r="F199" s="26">
        <v>0.89795918367346939</v>
      </c>
      <c r="G199" s="24">
        <v>9.0909090909090912E-2</v>
      </c>
    </row>
    <row r="200" spans="1:7" x14ac:dyDescent="0.25">
      <c r="A200" s="9" t="s">
        <v>62</v>
      </c>
      <c r="B200" s="9" t="s">
        <v>83</v>
      </c>
      <c r="C200" s="9">
        <v>57</v>
      </c>
      <c r="D200" s="9">
        <v>53</v>
      </c>
      <c r="E200" s="9">
        <v>0</v>
      </c>
      <c r="F200" s="26">
        <v>0.92982456140350878</v>
      </c>
      <c r="G200" s="24">
        <v>0</v>
      </c>
    </row>
    <row r="201" spans="1:7" x14ac:dyDescent="0.25">
      <c r="A201" s="9" t="s">
        <v>62</v>
      </c>
      <c r="B201" s="9" t="s">
        <v>84</v>
      </c>
      <c r="C201" s="9">
        <v>38</v>
      </c>
      <c r="D201" s="9">
        <v>38</v>
      </c>
      <c r="E201" s="9">
        <v>4</v>
      </c>
      <c r="F201" s="26">
        <v>1</v>
      </c>
      <c r="G201" s="24">
        <v>0.10526315789473684</v>
      </c>
    </row>
    <row r="202" spans="1:7" x14ac:dyDescent="0.25">
      <c r="A202" s="9" t="s">
        <v>62</v>
      </c>
      <c r="B202" s="9" t="s">
        <v>85</v>
      </c>
      <c r="C202" s="9">
        <v>69</v>
      </c>
      <c r="D202" s="9">
        <v>63</v>
      </c>
      <c r="E202" s="9">
        <v>1</v>
      </c>
      <c r="F202" s="26">
        <v>0.91304347826086951</v>
      </c>
      <c r="G202" s="24">
        <v>1.5873015873015872E-2</v>
      </c>
    </row>
    <row r="203" spans="1:7" x14ac:dyDescent="0.25">
      <c r="A203" s="9" t="s">
        <v>62</v>
      </c>
      <c r="B203" s="9" t="s">
        <v>86</v>
      </c>
      <c r="C203" s="9">
        <v>31</v>
      </c>
      <c r="D203" s="9">
        <v>27</v>
      </c>
      <c r="E203" s="9">
        <v>2</v>
      </c>
      <c r="F203" s="26">
        <v>0.87096774193548387</v>
      </c>
      <c r="G203" s="24">
        <v>7.407407407407407E-2</v>
      </c>
    </row>
    <row r="204" spans="1:7" x14ac:dyDescent="0.25">
      <c r="A204" s="9" t="s">
        <v>62</v>
      </c>
      <c r="B204" s="9" t="s">
        <v>87</v>
      </c>
      <c r="C204" s="9">
        <v>77</v>
      </c>
      <c r="D204" s="9">
        <v>75</v>
      </c>
      <c r="E204" s="9">
        <v>3</v>
      </c>
      <c r="F204" s="26">
        <v>0.97402597402597413</v>
      </c>
      <c r="G204" s="24">
        <v>0.04</v>
      </c>
    </row>
    <row r="205" spans="1:7" x14ac:dyDescent="0.25">
      <c r="A205" s="9" t="s">
        <v>62</v>
      </c>
      <c r="B205" s="9" t="s">
        <v>88</v>
      </c>
      <c r="C205" s="9">
        <v>77</v>
      </c>
      <c r="D205" s="9">
        <v>73</v>
      </c>
      <c r="E205" s="9">
        <v>3</v>
      </c>
      <c r="F205" s="26">
        <v>0.94805194805194803</v>
      </c>
      <c r="G205" s="24">
        <v>4.1095890410958902E-2</v>
      </c>
    </row>
    <row r="206" spans="1:7" x14ac:dyDescent="0.25">
      <c r="A206" s="9" t="s">
        <v>63</v>
      </c>
      <c r="B206" s="9" t="s">
        <v>83</v>
      </c>
      <c r="C206" s="9">
        <v>36</v>
      </c>
      <c r="D206" s="9">
        <v>34</v>
      </c>
      <c r="E206" s="9">
        <v>2</v>
      </c>
      <c r="F206" s="26">
        <v>0.94444444444444442</v>
      </c>
      <c r="G206" s="24">
        <v>5.8823529411764698E-2</v>
      </c>
    </row>
    <row r="207" spans="1:7" x14ac:dyDescent="0.25">
      <c r="A207" s="9" t="s">
        <v>63</v>
      </c>
      <c r="B207" s="9" t="s">
        <v>84</v>
      </c>
      <c r="C207" s="9">
        <v>53</v>
      </c>
      <c r="D207" s="9">
        <v>51</v>
      </c>
      <c r="E207" s="9">
        <v>4</v>
      </c>
      <c r="F207" s="26">
        <v>0.96226415094339623</v>
      </c>
      <c r="G207" s="24">
        <v>7.8431372549019607E-2</v>
      </c>
    </row>
    <row r="208" spans="1:7" x14ac:dyDescent="0.25">
      <c r="A208" s="9" t="s">
        <v>63</v>
      </c>
      <c r="B208" s="9" t="s">
        <v>85</v>
      </c>
      <c r="C208" s="9">
        <v>84</v>
      </c>
      <c r="D208" s="9">
        <v>81</v>
      </c>
      <c r="E208" s="9">
        <v>3</v>
      </c>
      <c r="F208" s="26">
        <v>0.9642857142857143</v>
      </c>
      <c r="G208" s="24">
        <v>3.7037037037037035E-2</v>
      </c>
    </row>
    <row r="209" spans="1:7" x14ac:dyDescent="0.25">
      <c r="A209" s="9" t="s">
        <v>63</v>
      </c>
      <c r="B209" s="9" t="s">
        <v>86</v>
      </c>
      <c r="C209" s="9">
        <v>39</v>
      </c>
      <c r="D209" s="9">
        <v>34</v>
      </c>
      <c r="E209" s="9">
        <v>1</v>
      </c>
      <c r="F209" s="26">
        <v>0.87179487179487181</v>
      </c>
      <c r="G209" s="24">
        <v>2.9411764705882349E-2</v>
      </c>
    </row>
    <row r="210" spans="1:7" x14ac:dyDescent="0.25">
      <c r="A210" s="9" t="s">
        <v>63</v>
      </c>
      <c r="B210" s="9" t="s">
        <v>87</v>
      </c>
      <c r="C210" s="9">
        <v>61</v>
      </c>
      <c r="D210" s="9">
        <v>58</v>
      </c>
      <c r="E210" s="9">
        <v>1</v>
      </c>
      <c r="F210" s="26">
        <v>0.95081967213114749</v>
      </c>
      <c r="G210" s="24">
        <v>1.7241379310344827E-2</v>
      </c>
    </row>
    <row r="211" spans="1:7" x14ac:dyDescent="0.25">
      <c r="A211" s="9" t="s">
        <v>63</v>
      </c>
      <c r="B211" s="9" t="s">
        <v>88</v>
      </c>
      <c r="C211" s="9">
        <v>69</v>
      </c>
      <c r="D211" s="9">
        <v>66</v>
      </c>
      <c r="E211" s="9">
        <v>0</v>
      </c>
      <c r="F211" s="26">
        <v>0.95652173913043481</v>
      </c>
      <c r="G211" s="24">
        <v>0</v>
      </c>
    </row>
    <row r="212" spans="1:7" x14ac:dyDescent="0.25">
      <c r="A212" s="9" t="s">
        <v>64</v>
      </c>
      <c r="B212" s="9" t="s">
        <v>83</v>
      </c>
      <c r="C212" s="9">
        <v>42</v>
      </c>
      <c r="D212" s="9">
        <v>36</v>
      </c>
      <c r="E212" s="9">
        <v>1</v>
      </c>
      <c r="F212" s="26">
        <v>0.8571428571428571</v>
      </c>
      <c r="G212" s="24">
        <v>2.7777777777777776E-2</v>
      </c>
    </row>
    <row r="213" spans="1:7" x14ac:dyDescent="0.25">
      <c r="A213" s="9" t="s">
        <v>64</v>
      </c>
      <c r="B213" s="9" t="s">
        <v>84</v>
      </c>
      <c r="C213" s="9">
        <v>70</v>
      </c>
      <c r="D213" s="9">
        <v>69</v>
      </c>
      <c r="E213" s="9">
        <v>1</v>
      </c>
      <c r="F213" s="26">
        <v>0.98571428571428588</v>
      </c>
      <c r="G213" s="24">
        <v>1.4492753623188406E-2</v>
      </c>
    </row>
    <row r="214" spans="1:7" x14ac:dyDescent="0.25">
      <c r="A214" s="9" t="s">
        <v>64</v>
      </c>
      <c r="B214" s="9" t="s">
        <v>85</v>
      </c>
      <c r="C214" s="9">
        <v>66</v>
      </c>
      <c r="D214" s="9">
        <v>62</v>
      </c>
      <c r="E214" s="9">
        <v>1</v>
      </c>
      <c r="F214" s="26">
        <v>0.93939393939393934</v>
      </c>
      <c r="G214" s="24">
        <v>1.6129032258064516E-2</v>
      </c>
    </row>
    <row r="215" spans="1:7" x14ac:dyDescent="0.25">
      <c r="A215" s="9" t="s">
        <v>64</v>
      </c>
      <c r="B215" s="9" t="s">
        <v>86</v>
      </c>
      <c r="C215" s="9">
        <v>69</v>
      </c>
      <c r="D215" s="9">
        <v>69</v>
      </c>
      <c r="E215" s="9">
        <v>0</v>
      </c>
      <c r="F215" s="26">
        <v>1</v>
      </c>
      <c r="G215" s="24">
        <v>0</v>
      </c>
    </row>
    <row r="216" spans="1:7" x14ac:dyDescent="0.25">
      <c r="A216" s="9" t="s">
        <v>64</v>
      </c>
      <c r="B216" s="9" t="s">
        <v>87</v>
      </c>
      <c r="C216" s="9">
        <v>34</v>
      </c>
      <c r="D216" s="9">
        <v>31</v>
      </c>
      <c r="E216" s="9">
        <v>4</v>
      </c>
      <c r="F216" s="26">
        <v>0.91176470588235292</v>
      </c>
      <c r="G216" s="24">
        <v>0.12903225806451613</v>
      </c>
    </row>
    <row r="217" spans="1:7" x14ac:dyDescent="0.25">
      <c r="A217" s="9" t="s">
        <v>64</v>
      </c>
      <c r="B217" s="9" t="s">
        <v>88</v>
      </c>
      <c r="C217" s="9">
        <v>60</v>
      </c>
      <c r="D217" s="9">
        <v>56</v>
      </c>
      <c r="E217" s="9">
        <v>3</v>
      </c>
      <c r="F217" s="26">
        <v>0.93333333333333324</v>
      </c>
      <c r="G217" s="24">
        <v>5.3571428571428568E-2</v>
      </c>
    </row>
    <row r="218" spans="1:7" x14ac:dyDescent="0.25">
      <c r="A218" s="9" t="s">
        <v>65</v>
      </c>
      <c r="B218" s="9" t="s">
        <v>83</v>
      </c>
      <c r="C218" s="9">
        <v>55</v>
      </c>
      <c r="D218" s="9">
        <v>49</v>
      </c>
      <c r="E218" s="9">
        <v>0</v>
      </c>
      <c r="F218" s="26">
        <v>0.89090909090909098</v>
      </c>
      <c r="G218" s="24">
        <v>0</v>
      </c>
    </row>
    <row r="219" spans="1:7" x14ac:dyDescent="0.25">
      <c r="A219" s="9" t="s">
        <v>65</v>
      </c>
      <c r="B219" s="9" t="s">
        <v>84</v>
      </c>
      <c r="C219" s="9">
        <v>52</v>
      </c>
      <c r="D219" s="9">
        <v>50</v>
      </c>
      <c r="E219" s="9">
        <v>4</v>
      </c>
      <c r="F219" s="26">
        <v>0.96153846153846156</v>
      </c>
      <c r="G219" s="24">
        <v>0.08</v>
      </c>
    </row>
    <row r="220" spans="1:7" x14ac:dyDescent="0.25">
      <c r="A220" s="9" t="s">
        <v>65</v>
      </c>
      <c r="B220" s="9" t="s">
        <v>85</v>
      </c>
      <c r="C220" s="9">
        <v>56</v>
      </c>
      <c r="D220" s="9">
        <v>56</v>
      </c>
      <c r="E220" s="9">
        <v>3</v>
      </c>
      <c r="F220" s="26">
        <v>1</v>
      </c>
      <c r="G220" s="24">
        <v>5.3571428571428568E-2</v>
      </c>
    </row>
    <row r="221" spans="1:7" x14ac:dyDescent="0.25">
      <c r="A221" s="9" t="s">
        <v>65</v>
      </c>
      <c r="B221" s="9" t="s">
        <v>86</v>
      </c>
      <c r="C221" s="9">
        <v>57</v>
      </c>
      <c r="D221" s="9">
        <v>51</v>
      </c>
      <c r="E221" s="9">
        <v>2</v>
      </c>
      <c r="F221" s="26">
        <v>0.89473684210526316</v>
      </c>
      <c r="G221" s="24">
        <v>3.9215686274509803E-2</v>
      </c>
    </row>
    <row r="222" spans="1:7" x14ac:dyDescent="0.25">
      <c r="A222" s="9" t="s">
        <v>65</v>
      </c>
      <c r="B222" s="9" t="s">
        <v>87</v>
      </c>
      <c r="C222" s="9">
        <v>70</v>
      </c>
      <c r="D222" s="9">
        <v>65</v>
      </c>
      <c r="E222" s="9">
        <v>3</v>
      </c>
      <c r="F222" s="26">
        <v>0.9285714285714286</v>
      </c>
      <c r="G222" s="24">
        <v>4.6153846153846156E-2</v>
      </c>
    </row>
    <row r="223" spans="1:7" x14ac:dyDescent="0.25">
      <c r="A223" s="9" t="s">
        <v>65</v>
      </c>
      <c r="B223" s="9" t="s">
        <v>88</v>
      </c>
      <c r="C223" s="9">
        <v>57</v>
      </c>
      <c r="D223" s="9">
        <v>52</v>
      </c>
      <c r="E223" s="9">
        <v>0</v>
      </c>
      <c r="F223" s="26">
        <v>0.91228070175438591</v>
      </c>
      <c r="G223" s="24">
        <v>0</v>
      </c>
    </row>
    <row r="224" spans="1:7" x14ac:dyDescent="0.25">
      <c r="A224" s="9" t="s">
        <v>66</v>
      </c>
      <c r="B224" s="9" t="s">
        <v>83</v>
      </c>
      <c r="C224" s="9">
        <v>56</v>
      </c>
      <c r="D224" s="9">
        <v>50</v>
      </c>
      <c r="E224" s="9">
        <v>5</v>
      </c>
      <c r="F224" s="26">
        <v>0.8928571428571429</v>
      </c>
      <c r="G224" s="24">
        <v>0.1</v>
      </c>
    </row>
    <row r="225" spans="1:7" x14ac:dyDescent="0.25">
      <c r="A225" s="9" t="s">
        <v>66</v>
      </c>
      <c r="B225" s="9" t="s">
        <v>84</v>
      </c>
      <c r="C225" s="9">
        <v>70</v>
      </c>
      <c r="D225" s="9">
        <v>65</v>
      </c>
      <c r="E225" s="9">
        <v>0</v>
      </c>
      <c r="F225" s="26">
        <v>0.9285714285714286</v>
      </c>
      <c r="G225" s="24">
        <v>0</v>
      </c>
    </row>
    <row r="226" spans="1:7" x14ac:dyDescent="0.25">
      <c r="A226" s="9" t="s">
        <v>66</v>
      </c>
      <c r="B226" s="9" t="s">
        <v>85</v>
      </c>
      <c r="C226" s="9">
        <v>43</v>
      </c>
      <c r="D226" s="9">
        <v>37</v>
      </c>
      <c r="E226" s="9">
        <v>5</v>
      </c>
      <c r="F226" s="26">
        <v>0.86046511627906985</v>
      </c>
      <c r="G226" s="24">
        <v>0.13513513513513514</v>
      </c>
    </row>
    <row r="227" spans="1:7" x14ac:dyDescent="0.25">
      <c r="A227" s="9" t="s">
        <v>66</v>
      </c>
      <c r="B227" s="9" t="s">
        <v>86</v>
      </c>
      <c r="C227" s="9">
        <v>31</v>
      </c>
      <c r="D227" s="9">
        <v>25</v>
      </c>
      <c r="E227" s="9">
        <v>3</v>
      </c>
      <c r="F227" s="26">
        <v>0.80645161290322576</v>
      </c>
      <c r="G227" s="24">
        <v>0.12</v>
      </c>
    </row>
    <row r="228" spans="1:7" x14ac:dyDescent="0.25">
      <c r="A228" s="9" t="s">
        <v>66</v>
      </c>
      <c r="B228" s="9" t="s">
        <v>87</v>
      </c>
      <c r="C228" s="9">
        <v>83</v>
      </c>
      <c r="D228" s="9">
        <v>81</v>
      </c>
      <c r="E228" s="9">
        <v>4</v>
      </c>
      <c r="F228" s="26">
        <v>0.97590361445783136</v>
      </c>
      <c r="G228" s="24">
        <v>4.9382716049382713E-2</v>
      </c>
    </row>
    <row r="229" spans="1:7" x14ac:dyDescent="0.25">
      <c r="A229" s="9" t="s">
        <v>66</v>
      </c>
      <c r="B229" s="9" t="s">
        <v>88</v>
      </c>
      <c r="C229" s="9">
        <v>84</v>
      </c>
      <c r="D229" s="9">
        <v>83</v>
      </c>
      <c r="E229" s="9">
        <v>1</v>
      </c>
      <c r="F229" s="26">
        <v>0.98809523809523814</v>
      </c>
      <c r="G229" s="24">
        <v>1.2048192771084338E-2</v>
      </c>
    </row>
    <row r="230" spans="1:7" x14ac:dyDescent="0.25">
      <c r="A230" s="9" t="s">
        <v>67</v>
      </c>
      <c r="B230" s="9" t="s">
        <v>83</v>
      </c>
      <c r="C230" s="9">
        <v>59</v>
      </c>
      <c r="D230" s="9">
        <v>54</v>
      </c>
      <c r="E230" s="9">
        <v>0</v>
      </c>
      <c r="F230" s="26">
        <v>0.9152542372881356</v>
      </c>
      <c r="G230" s="24">
        <v>0</v>
      </c>
    </row>
    <row r="231" spans="1:7" x14ac:dyDescent="0.25">
      <c r="A231" s="9" t="s">
        <v>67</v>
      </c>
      <c r="B231" s="9" t="s">
        <v>84</v>
      </c>
      <c r="C231" s="9">
        <v>65</v>
      </c>
      <c r="D231" s="9">
        <v>62</v>
      </c>
      <c r="E231" s="9">
        <v>3</v>
      </c>
      <c r="F231" s="26">
        <v>0.9538461538461539</v>
      </c>
      <c r="G231" s="24">
        <v>4.8387096774193547E-2</v>
      </c>
    </row>
    <row r="232" spans="1:7" x14ac:dyDescent="0.25">
      <c r="A232" s="9" t="s">
        <v>67</v>
      </c>
      <c r="B232" s="9" t="s">
        <v>85</v>
      </c>
      <c r="C232" s="9">
        <v>67</v>
      </c>
      <c r="D232" s="9">
        <v>66</v>
      </c>
      <c r="E232" s="9">
        <v>3</v>
      </c>
      <c r="F232" s="26">
        <v>0.98507462686567171</v>
      </c>
      <c r="G232" s="24">
        <v>4.5454545454545456E-2</v>
      </c>
    </row>
    <row r="233" spans="1:7" x14ac:dyDescent="0.25">
      <c r="A233" s="9" t="s">
        <v>67</v>
      </c>
      <c r="B233" s="9" t="s">
        <v>86</v>
      </c>
      <c r="C233" s="9">
        <v>64</v>
      </c>
      <c r="D233" s="9">
        <v>58</v>
      </c>
      <c r="E233" s="9">
        <v>3</v>
      </c>
      <c r="F233" s="26">
        <v>0.90625</v>
      </c>
      <c r="G233" s="24">
        <v>5.1724137931034482E-2</v>
      </c>
    </row>
    <row r="234" spans="1:7" x14ac:dyDescent="0.25">
      <c r="A234" s="9" t="s">
        <v>67</v>
      </c>
      <c r="B234" s="9" t="s">
        <v>87</v>
      </c>
      <c r="C234" s="9">
        <v>66</v>
      </c>
      <c r="D234" s="9">
        <v>63</v>
      </c>
      <c r="E234" s="9">
        <v>4</v>
      </c>
      <c r="F234" s="26">
        <v>0.95454545454545459</v>
      </c>
      <c r="G234" s="24">
        <v>6.3492063492063489E-2</v>
      </c>
    </row>
    <row r="235" spans="1:7" x14ac:dyDescent="0.25">
      <c r="A235" s="9" t="s">
        <v>67</v>
      </c>
      <c r="B235" s="9" t="s">
        <v>88</v>
      </c>
      <c r="C235" s="9">
        <v>58</v>
      </c>
      <c r="D235" s="9">
        <v>57</v>
      </c>
      <c r="E235" s="9">
        <v>5</v>
      </c>
      <c r="F235" s="26">
        <v>0.98275862068965514</v>
      </c>
      <c r="G235" s="24">
        <v>8.771929824561403E-2</v>
      </c>
    </row>
    <row r="236" spans="1:7" x14ac:dyDescent="0.25">
      <c r="A236" s="9" t="s">
        <v>68</v>
      </c>
      <c r="B236" s="9" t="s">
        <v>83</v>
      </c>
      <c r="C236" s="9">
        <v>71</v>
      </c>
      <c r="D236" s="9">
        <v>66</v>
      </c>
      <c r="E236" s="9">
        <v>1</v>
      </c>
      <c r="F236" s="26">
        <v>0.92957746478873238</v>
      </c>
      <c r="G236" s="24">
        <v>1.5151515151515152E-2</v>
      </c>
    </row>
    <row r="237" spans="1:7" x14ac:dyDescent="0.25">
      <c r="A237" s="9" t="s">
        <v>68</v>
      </c>
      <c r="B237" s="9" t="s">
        <v>84</v>
      </c>
      <c r="C237" s="9">
        <v>66</v>
      </c>
      <c r="D237" s="9">
        <v>64</v>
      </c>
      <c r="E237" s="9">
        <v>4</v>
      </c>
      <c r="F237" s="26">
        <v>0.96969696969696972</v>
      </c>
      <c r="G237" s="24">
        <v>6.25E-2</v>
      </c>
    </row>
    <row r="238" spans="1:7" x14ac:dyDescent="0.25">
      <c r="A238" s="9" t="s">
        <v>68</v>
      </c>
      <c r="B238" s="9" t="s">
        <v>85</v>
      </c>
      <c r="C238" s="9">
        <v>78</v>
      </c>
      <c r="D238" s="9">
        <v>75</v>
      </c>
      <c r="E238" s="9">
        <v>1</v>
      </c>
      <c r="F238" s="26">
        <v>0.96153846153846156</v>
      </c>
      <c r="G238" s="24">
        <v>1.3333333333333334E-2</v>
      </c>
    </row>
    <row r="239" spans="1:7" x14ac:dyDescent="0.25">
      <c r="A239" s="9" t="s">
        <v>68</v>
      </c>
      <c r="B239" s="9" t="s">
        <v>86</v>
      </c>
      <c r="C239" s="9">
        <v>55</v>
      </c>
      <c r="D239" s="9">
        <v>52</v>
      </c>
      <c r="E239" s="9">
        <v>3</v>
      </c>
      <c r="F239" s="26">
        <v>0.94545454545454544</v>
      </c>
      <c r="G239" s="24">
        <v>5.7692307692307689E-2</v>
      </c>
    </row>
    <row r="240" spans="1:7" x14ac:dyDescent="0.25">
      <c r="A240" s="9" t="s">
        <v>68</v>
      </c>
      <c r="B240" s="9" t="s">
        <v>87</v>
      </c>
      <c r="C240" s="9">
        <v>54</v>
      </c>
      <c r="D240" s="9">
        <v>52</v>
      </c>
      <c r="E240" s="9">
        <v>1</v>
      </c>
      <c r="F240" s="26">
        <v>0.96296296296296291</v>
      </c>
      <c r="G240" s="24">
        <v>1.9230769230769232E-2</v>
      </c>
    </row>
    <row r="241" spans="1:7" x14ac:dyDescent="0.25">
      <c r="A241" s="9" t="s">
        <v>68</v>
      </c>
      <c r="B241" s="9" t="s">
        <v>88</v>
      </c>
      <c r="C241" s="9">
        <v>31</v>
      </c>
      <c r="D241" s="9">
        <v>25</v>
      </c>
      <c r="E241" s="9">
        <v>5</v>
      </c>
      <c r="F241" s="26">
        <v>0.80645161290322576</v>
      </c>
      <c r="G241" s="24">
        <v>0.2</v>
      </c>
    </row>
    <row r="242" spans="1:7" x14ac:dyDescent="0.25">
      <c r="A242" s="9" t="s">
        <v>69</v>
      </c>
      <c r="B242" s="9" t="s">
        <v>83</v>
      </c>
      <c r="C242" s="9">
        <v>56</v>
      </c>
      <c r="D242" s="9">
        <v>54</v>
      </c>
      <c r="E242" s="9">
        <v>0</v>
      </c>
      <c r="F242" s="26">
        <v>0.9642857142857143</v>
      </c>
      <c r="G242" s="24">
        <v>0</v>
      </c>
    </row>
    <row r="243" spans="1:7" x14ac:dyDescent="0.25">
      <c r="A243" s="9" t="s">
        <v>69</v>
      </c>
      <c r="B243" s="9" t="s">
        <v>84</v>
      </c>
      <c r="C243" s="9">
        <v>41</v>
      </c>
      <c r="D243" s="9">
        <v>38</v>
      </c>
      <c r="E243" s="9">
        <v>0</v>
      </c>
      <c r="F243" s="26">
        <v>0.92682926829268297</v>
      </c>
      <c r="G243" s="24">
        <v>0</v>
      </c>
    </row>
    <row r="244" spans="1:7" x14ac:dyDescent="0.25">
      <c r="A244" s="9" t="s">
        <v>69</v>
      </c>
      <c r="B244" s="9" t="s">
        <v>85</v>
      </c>
      <c r="C244" s="9">
        <v>70</v>
      </c>
      <c r="D244" s="9">
        <v>68</v>
      </c>
      <c r="E244" s="9">
        <v>2</v>
      </c>
      <c r="F244" s="26">
        <v>0.97142857142857142</v>
      </c>
      <c r="G244" s="24">
        <v>2.9411764705882349E-2</v>
      </c>
    </row>
    <row r="245" spans="1:7" x14ac:dyDescent="0.25">
      <c r="A245" s="9" t="s">
        <v>69</v>
      </c>
      <c r="B245" s="9" t="s">
        <v>86</v>
      </c>
      <c r="C245" s="9">
        <v>84</v>
      </c>
      <c r="D245" s="9">
        <v>84</v>
      </c>
      <c r="E245" s="9">
        <v>1</v>
      </c>
      <c r="F245" s="26">
        <v>1</v>
      </c>
      <c r="G245" s="24">
        <v>1.1904761904761904E-2</v>
      </c>
    </row>
    <row r="246" spans="1:7" x14ac:dyDescent="0.25">
      <c r="A246" s="9" t="s">
        <v>69</v>
      </c>
      <c r="B246" s="9" t="s">
        <v>87</v>
      </c>
      <c r="C246" s="9">
        <v>54</v>
      </c>
      <c r="D246" s="9">
        <v>50</v>
      </c>
      <c r="E246" s="9">
        <v>3</v>
      </c>
      <c r="F246" s="26">
        <v>0.92592592592592593</v>
      </c>
      <c r="G246" s="24">
        <v>0.06</v>
      </c>
    </row>
    <row r="247" spans="1:7" x14ac:dyDescent="0.25">
      <c r="A247" s="9" t="s">
        <v>69</v>
      </c>
      <c r="B247" s="9" t="s">
        <v>88</v>
      </c>
      <c r="C247" s="9">
        <v>67</v>
      </c>
      <c r="D247" s="9">
        <v>64</v>
      </c>
      <c r="E247" s="9">
        <v>5</v>
      </c>
      <c r="F247" s="26">
        <v>0.9552238805970148</v>
      </c>
      <c r="G247" s="24">
        <v>7.8125E-2</v>
      </c>
    </row>
    <row r="248" spans="1:7" x14ac:dyDescent="0.25">
      <c r="A248" s="9" t="s">
        <v>70</v>
      </c>
      <c r="B248" s="9" t="s">
        <v>83</v>
      </c>
      <c r="C248" s="9">
        <v>63</v>
      </c>
      <c r="D248" s="9">
        <v>61</v>
      </c>
      <c r="E248" s="9">
        <v>3</v>
      </c>
      <c r="F248" s="26">
        <v>0.96825396825396826</v>
      </c>
      <c r="G248" s="24">
        <v>4.9180327868852458E-2</v>
      </c>
    </row>
    <row r="249" spans="1:7" x14ac:dyDescent="0.25">
      <c r="A249" s="9" t="s">
        <v>70</v>
      </c>
      <c r="B249" s="9" t="s">
        <v>84</v>
      </c>
      <c r="C249" s="9">
        <v>40</v>
      </c>
      <c r="D249" s="9">
        <v>35</v>
      </c>
      <c r="E249" s="9">
        <v>1</v>
      </c>
      <c r="F249" s="26">
        <v>0.875</v>
      </c>
      <c r="G249" s="24">
        <v>2.8571428571428571E-2</v>
      </c>
    </row>
    <row r="250" spans="1:7" x14ac:dyDescent="0.25">
      <c r="A250" s="9" t="s">
        <v>70</v>
      </c>
      <c r="B250" s="9" t="s">
        <v>85</v>
      </c>
      <c r="C250" s="9">
        <v>58</v>
      </c>
      <c r="D250" s="9">
        <v>52</v>
      </c>
      <c r="E250" s="9">
        <v>1</v>
      </c>
      <c r="F250" s="26">
        <v>0.89655172413793105</v>
      </c>
      <c r="G250" s="24">
        <v>1.9230769230769232E-2</v>
      </c>
    </row>
    <row r="251" spans="1:7" x14ac:dyDescent="0.25">
      <c r="A251" s="9" t="s">
        <v>70</v>
      </c>
      <c r="B251" s="9" t="s">
        <v>86</v>
      </c>
      <c r="C251" s="9">
        <v>69</v>
      </c>
      <c r="D251" s="9">
        <v>66</v>
      </c>
      <c r="E251" s="9">
        <v>4</v>
      </c>
      <c r="F251" s="26">
        <v>0.95652173913043481</v>
      </c>
      <c r="G251" s="24">
        <v>6.0606060606060608E-2</v>
      </c>
    </row>
    <row r="252" spans="1:7" x14ac:dyDescent="0.25">
      <c r="A252" s="9" t="s">
        <v>70</v>
      </c>
      <c r="B252" s="9" t="s">
        <v>87</v>
      </c>
      <c r="C252" s="9">
        <v>72</v>
      </c>
      <c r="D252" s="9">
        <v>72</v>
      </c>
      <c r="E252" s="9">
        <v>5</v>
      </c>
      <c r="F252" s="26">
        <v>1</v>
      </c>
      <c r="G252" s="24">
        <v>6.9444444444444448E-2</v>
      </c>
    </row>
    <row r="253" spans="1:7" x14ac:dyDescent="0.25">
      <c r="A253" s="9" t="s">
        <v>70</v>
      </c>
      <c r="B253" s="9" t="s">
        <v>88</v>
      </c>
      <c r="C253" s="9">
        <v>48</v>
      </c>
      <c r="D253" s="9">
        <v>42</v>
      </c>
      <c r="E253" s="9">
        <v>5</v>
      </c>
      <c r="F253" s="26">
        <v>0.875</v>
      </c>
      <c r="G253" s="24">
        <v>0.11904761904761903</v>
      </c>
    </row>
    <row r="254" spans="1:7" x14ac:dyDescent="0.25">
      <c r="A254" s="9" t="s">
        <v>71</v>
      </c>
      <c r="B254" s="9" t="s">
        <v>83</v>
      </c>
      <c r="C254" s="9">
        <v>47</v>
      </c>
      <c r="D254" s="9">
        <v>42</v>
      </c>
      <c r="E254" s="9">
        <v>3</v>
      </c>
      <c r="F254" s="26">
        <v>0.8936170212765957</v>
      </c>
      <c r="G254" s="24">
        <v>7.1428571428571425E-2</v>
      </c>
    </row>
    <row r="255" spans="1:7" x14ac:dyDescent="0.25">
      <c r="A255" s="9" t="s">
        <v>71</v>
      </c>
      <c r="B255" s="9" t="s">
        <v>84</v>
      </c>
      <c r="C255" s="9">
        <v>47</v>
      </c>
      <c r="D255" s="9">
        <v>47</v>
      </c>
      <c r="E255" s="9">
        <v>0</v>
      </c>
      <c r="F255" s="26">
        <v>1</v>
      </c>
      <c r="G255" s="24">
        <v>0</v>
      </c>
    </row>
    <row r="256" spans="1:7" x14ac:dyDescent="0.25">
      <c r="A256" s="9" t="s">
        <v>71</v>
      </c>
      <c r="B256" s="9" t="s">
        <v>85</v>
      </c>
      <c r="C256" s="9">
        <v>53</v>
      </c>
      <c r="D256" s="9">
        <v>50</v>
      </c>
      <c r="E256" s="9">
        <v>3</v>
      </c>
      <c r="F256" s="26">
        <v>0.94339622641509435</v>
      </c>
      <c r="G256" s="24">
        <v>0.06</v>
      </c>
    </row>
    <row r="257" spans="1:7" x14ac:dyDescent="0.25">
      <c r="A257" s="9" t="s">
        <v>71</v>
      </c>
      <c r="B257" s="9" t="s">
        <v>86</v>
      </c>
      <c r="C257" s="9">
        <v>56</v>
      </c>
      <c r="D257" s="9">
        <v>52</v>
      </c>
      <c r="E257" s="9">
        <v>3</v>
      </c>
      <c r="F257" s="26">
        <v>0.9285714285714286</v>
      </c>
      <c r="G257" s="24">
        <v>5.7692307692307689E-2</v>
      </c>
    </row>
    <row r="258" spans="1:7" x14ac:dyDescent="0.25">
      <c r="A258" s="9" t="s">
        <v>71</v>
      </c>
      <c r="B258" s="9" t="s">
        <v>87</v>
      </c>
      <c r="C258" s="9">
        <v>78</v>
      </c>
      <c r="D258" s="9">
        <v>75</v>
      </c>
      <c r="E258" s="9">
        <v>0</v>
      </c>
      <c r="F258" s="26">
        <v>0.96153846153846156</v>
      </c>
      <c r="G258" s="24">
        <v>0</v>
      </c>
    </row>
    <row r="259" spans="1:7" x14ac:dyDescent="0.25">
      <c r="A259" s="9" t="s">
        <v>71</v>
      </c>
      <c r="B259" s="9" t="s">
        <v>88</v>
      </c>
      <c r="C259" s="9">
        <v>34</v>
      </c>
      <c r="D259" s="9">
        <v>30</v>
      </c>
      <c r="E259" s="9">
        <v>5</v>
      </c>
      <c r="F259" s="26">
        <v>0.88235294117647056</v>
      </c>
      <c r="G259" s="24">
        <v>0.16666666666666663</v>
      </c>
    </row>
    <row r="260" spans="1:7" x14ac:dyDescent="0.25">
      <c r="A260" s="9" t="s">
        <v>72</v>
      </c>
      <c r="B260" s="9" t="s">
        <v>83</v>
      </c>
      <c r="C260" s="9">
        <v>75</v>
      </c>
      <c r="D260" s="9">
        <v>70</v>
      </c>
      <c r="E260" s="9">
        <v>2</v>
      </c>
      <c r="F260" s="26">
        <v>0.93333333333333324</v>
      </c>
      <c r="G260" s="24">
        <v>2.8571428571428571E-2</v>
      </c>
    </row>
    <row r="261" spans="1:7" x14ac:dyDescent="0.25">
      <c r="A261" s="9" t="s">
        <v>72</v>
      </c>
      <c r="B261" s="9" t="s">
        <v>84</v>
      </c>
      <c r="C261" s="9">
        <v>35</v>
      </c>
      <c r="D261" s="9">
        <v>31</v>
      </c>
      <c r="E261" s="9">
        <v>4</v>
      </c>
      <c r="F261" s="26">
        <v>0.88571428571428568</v>
      </c>
      <c r="G261" s="24">
        <v>0.12903225806451613</v>
      </c>
    </row>
    <row r="262" spans="1:7" x14ac:dyDescent="0.25">
      <c r="A262" s="9" t="s">
        <v>72</v>
      </c>
      <c r="B262" s="9" t="s">
        <v>85</v>
      </c>
      <c r="C262" s="9">
        <v>78</v>
      </c>
      <c r="D262" s="9">
        <v>75</v>
      </c>
      <c r="E262" s="9">
        <v>1</v>
      </c>
      <c r="F262" s="26">
        <v>0.96153846153846156</v>
      </c>
      <c r="G262" s="24">
        <v>1.3333333333333334E-2</v>
      </c>
    </row>
    <row r="263" spans="1:7" x14ac:dyDescent="0.25">
      <c r="A263" s="9" t="s">
        <v>72</v>
      </c>
      <c r="B263" s="9" t="s">
        <v>86</v>
      </c>
      <c r="C263" s="9">
        <v>31</v>
      </c>
      <c r="D263" s="9">
        <v>25</v>
      </c>
      <c r="E263" s="9">
        <v>2</v>
      </c>
      <c r="F263" s="26">
        <v>0.80645161290322576</v>
      </c>
      <c r="G263" s="24">
        <v>0.08</v>
      </c>
    </row>
    <row r="264" spans="1:7" x14ac:dyDescent="0.25">
      <c r="A264" s="9" t="s">
        <v>72</v>
      </c>
      <c r="B264" s="9" t="s">
        <v>87</v>
      </c>
      <c r="C264" s="9">
        <v>61</v>
      </c>
      <c r="D264" s="9">
        <v>58</v>
      </c>
      <c r="E264" s="9">
        <v>3</v>
      </c>
      <c r="F264" s="26">
        <v>0.95081967213114749</v>
      </c>
      <c r="G264" s="24">
        <v>5.1724137931034482E-2</v>
      </c>
    </row>
    <row r="265" spans="1:7" x14ac:dyDescent="0.25">
      <c r="A265" s="9" t="s">
        <v>72</v>
      </c>
      <c r="B265" s="9" t="s">
        <v>88</v>
      </c>
      <c r="C265" s="9">
        <v>31</v>
      </c>
      <c r="D265" s="9">
        <v>26</v>
      </c>
      <c r="E265" s="9">
        <v>1</v>
      </c>
      <c r="F265" s="26">
        <v>0.83870967741935487</v>
      </c>
      <c r="G265" s="24">
        <v>3.8461538461538464E-2</v>
      </c>
    </row>
    <row r="266" spans="1:7" x14ac:dyDescent="0.25">
      <c r="A266" s="9" t="s">
        <v>73</v>
      </c>
      <c r="B266" s="9" t="s">
        <v>83</v>
      </c>
      <c r="C266" s="9">
        <v>65</v>
      </c>
      <c r="D266" s="9">
        <v>65</v>
      </c>
      <c r="E266" s="9">
        <v>0</v>
      </c>
      <c r="F266" s="26">
        <v>1</v>
      </c>
      <c r="G266" s="24">
        <v>0</v>
      </c>
    </row>
    <row r="267" spans="1:7" x14ac:dyDescent="0.25">
      <c r="A267" s="9" t="s">
        <v>73</v>
      </c>
      <c r="B267" s="9" t="s">
        <v>84</v>
      </c>
      <c r="C267" s="9">
        <v>77</v>
      </c>
      <c r="D267" s="9">
        <v>77</v>
      </c>
      <c r="E267" s="9">
        <v>0</v>
      </c>
      <c r="F267" s="26">
        <v>1</v>
      </c>
      <c r="G267" s="24">
        <v>0</v>
      </c>
    </row>
    <row r="268" spans="1:7" x14ac:dyDescent="0.25">
      <c r="A268" s="9" t="s">
        <v>73</v>
      </c>
      <c r="B268" s="9" t="s">
        <v>85</v>
      </c>
      <c r="C268" s="9">
        <v>71</v>
      </c>
      <c r="D268" s="9">
        <v>70</v>
      </c>
      <c r="E268" s="9">
        <v>4</v>
      </c>
      <c r="F268" s="26">
        <v>0.9859154929577465</v>
      </c>
      <c r="G268" s="24">
        <v>5.7142857142857141E-2</v>
      </c>
    </row>
    <row r="269" spans="1:7" x14ac:dyDescent="0.25">
      <c r="A269" s="9" t="s">
        <v>73</v>
      </c>
      <c r="B269" s="9" t="s">
        <v>86</v>
      </c>
      <c r="C269" s="9">
        <v>83</v>
      </c>
      <c r="D269" s="9">
        <v>79</v>
      </c>
      <c r="E269" s="9">
        <v>1</v>
      </c>
      <c r="F269" s="26">
        <v>0.95180722891566261</v>
      </c>
      <c r="G269" s="24">
        <v>1.2658227848101267E-2</v>
      </c>
    </row>
    <row r="270" spans="1:7" x14ac:dyDescent="0.25">
      <c r="A270" s="9" t="s">
        <v>73</v>
      </c>
      <c r="B270" s="9" t="s">
        <v>87</v>
      </c>
      <c r="C270" s="9">
        <v>47</v>
      </c>
      <c r="D270" s="9">
        <v>46</v>
      </c>
      <c r="E270" s="9">
        <v>1</v>
      </c>
      <c r="F270" s="26">
        <v>0.97872340425531912</v>
      </c>
      <c r="G270" s="24">
        <v>2.1739130434782608E-2</v>
      </c>
    </row>
    <row r="271" spans="1:7" x14ac:dyDescent="0.25">
      <c r="A271" s="9" t="s">
        <v>73</v>
      </c>
      <c r="B271" s="9" t="s">
        <v>88</v>
      </c>
      <c r="C271" s="9">
        <v>70</v>
      </c>
      <c r="D271" s="9">
        <v>67</v>
      </c>
      <c r="E271" s="9">
        <v>4</v>
      </c>
      <c r="F271" s="26">
        <v>0.95714285714285718</v>
      </c>
      <c r="G271" s="24">
        <v>5.9701492537313425E-2</v>
      </c>
    </row>
    <row r="272" spans="1:7" x14ac:dyDescent="0.25">
      <c r="A272" s="9" t="s">
        <v>74</v>
      </c>
      <c r="B272" s="9" t="s">
        <v>83</v>
      </c>
      <c r="C272" s="9">
        <v>38</v>
      </c>
      <c r="D272" s="9">
        <v>38</v>
      </c>
      <c r="E272" s="9">
        <v>4</v>
      </c>
      <c r="F272" s="26">
        <v>1</v>
      </c>
      <c r="G272" s="24">
        <v>0.10526315789473684</v>
      </c>
    </row>
    <row r="273" spans="1:7" x14ac:dyDescent="0.25">
      <c r="A273" s="9" t="s">
        <v>74</v>
      </c>
      <c r="B273" s="9" t="s">
        <v>84</v>
      </c>
      <c r="C273" s="9">
        <v>78</v>
      </c>
      <c r="D273" s="9">
        <v>73</v>
      </c>
      <c r="E273" s="9">
        <v>0</v>
      </c>
      <c r="F273" s="26">
        <v>0.9358974358974359</v>
      </c>
      <c r="G273" s="24">
        <v>0</v>
      </c>
    </row>
    <row r="274" spans="1:7" x14ac:dyDescent="0.25">
      <c r="A274" s="9" t="s">
        <v>74</v>
      </c>
      <c r="B274" s="9" t="s">
        <v>85</v>
      </c>
      <c r="C274" s="9">
        <v>36</v>
      </c>
      <c r="D274" s="9">
        <v>35</v>
      </c>
      <c r="E274" s="9">
        <v>1</v>
      </c>
      <c r="F274" s="26">
        <v>0.9722222222222221</v>
      </c>
      <c r="G274" s="24">
        <v>2.8571428571428571E-2</v>
      </c>
    </row>
    <row r="275" spans="1:7" x14ac:dyDescent="0.25">
      <c r="A275" s="9" t="s">
        <v>74</v>
      </c>
      <c r="B275" s="9" t="s">
        <v>86</v>
      </c>
      <c r="C275" s="9">
        <v>73</v>
      </c>
      <c r="D275" s="9">
        <v>68</v>
      </c>
      <c r="E275" s="9">
        <v>2</v>
      </c>
      <c r="F275" s="26">
        <v>0.93150684931506844</v>
      </c>
      <c r="G275" s="24">
        <v>2.9411764705882349E-2</v>
      </c>
    </row>
    <row r="276" spans="1:7" x14ac:dyDescent="0.25">
      <c r="A276" s="9" t="s">
        <v>74</v>
      </c>
      <c r="B276" s="9" t="s">
        <v>87</v>
      </c>
      <c r="C276" s="9">
        <v>35</v>
      </c>
      <c r="D276" s="9">
        <v>35</v>
      </c>
      <c r="E276" s="9">
        <v>2</v>
      </c>
      <c r="F276" s="26">
        <v>1</v>
      </c>
      <c r="G276" s="24">
        <v>5.7142857142857141E-2</v>
      </c>
    </row>
    <row r="277" spans="1:7" x14ac:dyDescent="0.25">
      <c r="A277" s="9" t="s">
        <v>74</v>
      </c>
      <c r="B277" s="9" t="s">
        <v>88</v>
      </c>
      <c r="C277" s="9">
        <v>45</v>
      </c>
      <c r="D277" s="9">
        <v>42</v>
      </c>
      <c r="E277" s="9">
        <v>3</v>
      </c>
      <c r="F277" s="26">
        <v>0.93333333333333324</v>
      </c>
      <c r="G277" s="24">
        <v>7.1428571428571425E-2</v>
      </c>
    </row>
    <row r="278" spans="1:7" x14ac:dyDescent="0.25">
      <c r="A278" s="9" t="s">
        <v>75</v>
      </c>
      <c r="B278" s="9" t="s">
        <v>83</v>
      </c>
      <c r="C278" s="9">
        <v>34</v>
      </c>
      <c r="D278" s="9">
        <v>34</v>
      </c>
      <c r="E278" s="9">
        <v>3</v>
      </c>
      <c r="F278" s="26">
        <v>1</v>
      </c>
      <c r="G278" s="24">
        <v>8.8235294117647065E-2</v>
      </c>
    </row>
    <row r="279" spans="1:7" x14ac:dyDescent="0.25">
      <c r="A279" s="9" t="s">
        <v>75</v>
      </c>
      <c r="B279" s="9" t="s">
        <v>84</v>
      </c>
      <c r="C279" s="9">
        <v>64</v>
      </c>
      <c r="D279" s="9">
        <v>61</v>
      </c>
      <c r="E279" s="9">
        <v>0</v>
      </c>
      <c r="F279" s="26">
        <v>0.953125</v>
      </c>
      <c r="G279" s="24">
        <v>0</v>
      </c>
    </row>
    <row r="280" spans="1:7" x14ac:dyDescent="0.25">
      <c r="A280" s="9" t="s">
        <v>75</v>
      </c>
      <c r="B280" s="9" t="s">
        <v>85</v>
      </c>
      <c r="C280" s="9">
        <v>55</v>
      </c>
      <c r="D280" s="9">
        <v>51</v>
      </c>
      <c r="E280" s="9">
        <v>1</v>
      </c>
      <c r="F280" s="26">
        <v>0.92727272727272725</v>
      </c>
      <c r="G280" s="24">
        <v>1.9607843137254902E-2</v>
      </c>
    </row>
    <row r="281" spans="1:7" x14ac:dyDescent="0.25">
      <c r="A281" s="9" t="s">
        <v>75</v>
      </c>
      <c r="B281" s="9" t="s">
        <v>86</v>
      </c>
      <c r="C281" s="9">
        <v>31</v>
      </c>
      <c r="D281" s="9">
        <v>30</v>
      </c>
      <c r="E281" s="9">
        <v>2</v>
      </c>
      <c r="F281" s="26">
        <v>0.967741935483871</v>
      </c>
      <c r="G281" s="24">
        <v>6.6666666666666666E-2</v>
      </c>
    </row>
    <row r="282" spans="1:7" x14ac:dyDescent="0.25">
      <c r="A282" s="9" t="s">
        <v>75</v>
      </c>
      <c r="B282" s="9" t="s">
        <v>87</v>
      </c>
      <c r="C282" s="9">
        <v>67</v>
      </c>
      <c r="D282" s="9">
        <v>61</v>
      </c>
      <c r="E282" s="9">
        <v>4</v>
      </c>
      <c r="F282" s="26">
        <v>0.91044776119402981</v>
      </c>
      <c r="G282" s="24">
        <v>6.5573770491803282E-2</v>
      </c>
    </row>
    <row r="283" spans="1:7" x14ac:dyDescent="0.25">
      <c r="A283" s="9" t="s">
        <v>75</v>
      </c>
      <c r="B283" s="9" t="s">
        <v>88</v>
      </c>
      <c r="C283" s="9">
        <v>48</v>
      </c>
      <c r="D283" s="9">
        <v>43</v>
      </c>
      <c r="E283" s="9">
        <v>2</v>
      </c>
      <c r="F283" s="26">
        <v>0.89583333333333348</v>
      </c>
      <c r="G283" s="24">
        <v>4.6511627906976744E-2</v>
      </c>
    </row>
    <row r="284" spans="1:7" x14ac:dyDescent="0.25">
      <c r="A284" s="9" t="s">
        <v>76</v>
      </c>
      <c r="B284" s="9" t="s">
        <v>83</v>
      </c>
      <c r="C284" s="9">
        <v>40</v>
      </c>
      <c r="D284" s="9">
        <v>39</v>
      </c>
      <c r="E284" s="9">
        <v>3</v>
      </c>
      <c r="F284" s="26">
        <v>0.97499999999999998</v>
      </c>
      <c r="G284" s="24">
        <v>7.6923076923076927E-2</v>
      </c>
    </row>
    <row r="285" spans="1:7" x14ac:dyDescent="0.25">
      <c r="A285" s="9" t="s">
        <v>76</v>
      </c>
      <c r="B285" s="9" t="s">
        <v>84</v>
      </c>
      <c r="C285" s="9">
        <v>43</v>
      </c>
      <c r="D285" s="9">
        <v>37</v>
      </c>
      <c r="E285" s="9">
        <v>2</v>
      </c>
      <c r="F285" s="26">
        <v>0.86046511627906985</v>
      </c>
      <c r="G285" s="24">
        <v>5.405405405405405E-2</v>
      </c>
    </row>
    <row r="286" spans="1:7" x14ac:dyDescent="0.25">
      <c r="A286" s="9" t="s">
        <v>76</v>
      </c>
      <c r="B286" s="9" t="s">
        <v>85</v>
      </c>
      <c r="C286" s="9">
        <v>53</v>
      </c>
      <c r="D286" s="9">
        <v>53</v>
      </c>
      <c r="E286" s="9">
        <v>4</v>
      </c>
      <c r="F286" s="26">
        <v>1</v>
      </c>
      <c r="G286" s="24">
        <v>7.5471698113207544E-2</v>
      </c>
    </row>
    <row r="287" spans="1:7" x14ac:dyDescent="0.25">
      <c r="A287" s="9" t="s">
        <v>76</v>
      </c>
      <c r="B287" s="9" t="s">
        <v>86</v>
      </c>
      <c r="C287" s="9">
        <v>69</v>
      </c>
      <c r="D287" s="9">
        <v>65</v>
      </c>
      <c r="E287" s="9">
        <v>2</v>
      </c>
      <c r="F287" s="26">
        <v>0.94202898550724645</v>
      </c>
      <c r="G287" s="24">
        <v>3.0769230769230771E-2</v>
      </c>
    </row>
    <row r="288" spans="1:7" x14ac:dyDescent="0.25">
      <c r="A288" s="9" t="s">
        <v>76</v>
      </c>
      <c r="B288" s="9" t="s">
        <v>87</v>
      </c>
      <c r="C288" s="9">
        <v>31</v>
      </c>
      <c r="D288" s="9">
        <v>31</v>
      </c>
      <c r="E288" s="9">
        <v>3</v>
      </c>
      <c r="F288" s="26">
        <v>1</v>
      </c>
      <c r="G288" s="24">
        <v>9.6774193548387094E-2</v>
      </c>
    </row>
    <row r="289" spans="1:7" x14ac:dyDescent="0.25">
      <c r="A289" s="9" t="s">
        <v>76</v>
      </c>
      <c r="B289" s="9" t="s">
        <v>88</v>
      </c>
      <c r="C289" s="9">
        <v>64</v>
      </c>
      <c r="D289" s="9">
        <v>63</v>
      </c>
      <c r="E289" s="9">
        <v>4</v>
      </c>
      <c r="F289" s="26">
        <v>0.984375</v>
      </c>
      <c r="G289" s="24">
        <v>6.3492063492063489E-2</v>
      </c>
    </row>
    <row r="290" spans="1:7" x14ac:dyDescent="0.25">
      <c r="A290" s="9" t="s">
        <v>77</v>
      </c>
      <c r="B290" s="9" t="s">
        <v>83</v>
      </c>
      <c r="C290" s="9">
        <v>36</v>
      </c>
      <c r="D290" s="9">
        <v>30</v>
      </c>
      <c r="E290" s="9">
        <v>4</v>
      </c>
      <c r="F290" s="26">
        <v>0.83333333333333348</v>
      </c>
      <c r="G290" s="24">
        <v>0.13333333333333333</v>
      </c>
    </row>
    <row r="291" spans="1:7" x14ac:dyDescent="0.25">
      <c r="A291" s="9" t="s">
        <v>77</v>
      </c>
      <c r="B291" s="9" t="s">
        <v>84</v>
      </c>
      <c r="C291" s="9">
        <v>50</v>
      </c>
      <c r="D291" s="9">
        <v>48</v>
      </c>
      <c r="E291" s="9">
        <v>5</v>
      </c>
      <c r="F291" s="26">
        <v>0.96</v>
      </c>
      <c r="G291" s="24">
        <v>0.10416666666666669</v>
      </c>
    </row>
    <row r="292" spans="1:7" x14ac:dyDescent="0.25">
      <c r="A292" s="9" t="s">
        <v>77</v>
      </c>
      <c r="B292" s="9" t="s">
        <v>85</v>
      </c>
      <c r="C292" s="9">
        <v>64</v>
      </c>
      <c r="D292" s="9">
        <v>64</v>
      </c>
      <c r="E292" s="9">
        <v>1</v>
      </c>
      <c r="F292" s="26">
        <v>1</v>
      </c>
      <c r="G292" s="24">
        <v>1.5625E-2</v>
      </c>
    </row>
    <row r="293" spans="1:7" x14ac:dyDescent="0.25">
      <c r="A293" s="9" t="s">
        <v>77</v>
      </c>
      <c r="B293" s="9" t="s">
        <v>86</v>
      </c>
      <c r="C293" s="9">
        <v>37</v>
      </c>
      <c r="D293" s="9">
        <v>35</v>
      </c>
      <c r="E293" s="9">
        <v>3</v>
      </c>
      <c r="F293" s="26">
        <v>0.94594594594594594</v>
      </c>
      <c r="G293" s="24">
        <v>8.5714285714285715E-2</v>
      </c>
    </row>
    <row r="294" spans="1:7" x14ac:dyDescent="0.25">
      <c r="A294" s="9" t="s">
        <v>77</v>
      </c>
      <c r="B294" s="9" t="s">
        <v>87</v>
      </c>
      <c r="C294" s="9">
        <v>48</v>
      </c>
      <c r="D294" s="9">
        <v>45</v>
      </c>
      <c r="E294" s="9">
        <v>5</v>
      </c>
      <c r="F294" s="26">
        <v>0.9375</v>
      </c>
      <c r="G294" s="24">
        <v>0.1111111111111111</v>
      </c>
    </row>
    <row r="295" spans="1:7" x14ac:dyDescent="0.25">
      <c r="A295" s="9" t="s">
        <v>77</v>
      </c>
      <c r="B295" s="9" t="s">
        <v>88</v>
      </c>
      <c r="C295" s="9">
        <v>32</v>
      </c>
      <c r="D295" s="9">
        <v>26</v>
      </c>
      <c r="E295" s="9">
        <v>0</v>
      </c>
      <c r="F295" s="26">
        <v>0.8125</v>
      </c>
      <c r="G295" s="24">
        <v>0</v>
      </c>
    </row>
    <row r="296" spans="1:7" x14ac:dyDescent="0.25">
      <c r="A296" s="9" t="s">
        <v>78</v>
      </c>
      <c r="B296" s="9" t="s">
        <v>83</v>
      </c>
      <c r="C296" s="9">
        <v>83</v>
      </c>
      <c r="D296" s="9">
        <v>80</v>
      </c>
      <c r="E296" s="9">
        <v>5</v>
      </c>
      <c r="F296" s="26">
        <v>0.96385542168674698</v>
      </c>
      <c r="G296" s="24">
        <v>6.25E-2</v>
      </c>
    </row>
    <row r="297" spans="1:7" x14ac:dyDescent="0.25">
      <c r="A297" s="9" t="s">
        <v>78</v>
      </c>
      <c r="B297" s="9" t="s">
        <v>84</v>
      </c>
      <c r="C297" s="9">
        <v>55</v>
      </c>
      <c r="D297" s="9">
        <v>55</v>
      </c>
      <c r="E297" s="9">
        <v>4</v>
      </c>
      <c r="F297" s="26">
        <v>1</v>
      </c>
      <c r="G297" s="24">
        <v>7.2727272727272724E-2</v>
      </c>
    </row>
    <row r="298" spans="1:7" x14ac:dyDescent="0.25">
      <c r="A298" s="9" t="s">
        <v>78</v>
      </c>
      <c r="B298" s="9" t="s">
        <v>85</v>
      </c>
      <c r="C298" s="9">
        <v>49</v>
      </c>
      <c r="D298" s="9">
        <v>46</v>
      </c>
      <c r="E298" s="9">
        <v>4</v>
      </c>
      <c r="F298" s="26">
        <v>0.93877551020408168</v>
      </c>
      <c r="G298" s="24">
        <v>8.6956521739130432E-2</v>
      </c>
    </row>
    <row r="299" spans="1:7" x14ac:dyDescent="0.25">
      <c r="A299" s="9" t="s">
        <v>78</v>
      </c>
      <c r="B299" s="9" t="s">
        <v>86</v>
      </c>
      <c r="C299" s="9">
        <v>52</v>
      </c>
      <c r="D299" s="9">
        <v>46</v>
      </c>
      <c r="E299" s="9">
        <v>2</v>
      </c>
      <c r="F299" s="26">
        <v>0.88461538461538458</v>
      </c>
      <c r="G299" s="24">
        <v>4.3478260869565216E-2</v>
      </c>
    </row>
    <row r="300" spans="1:7" x14ac:dyDescent="0.25">
      <c r="A300" s="9" t="s">
        <v>78</v>
      </c>
      <c r="B300" s="9" t="s">
        <v>87</v>
      </c>
      <c r="C300" s="9">
        <v>49</v>
      </c>
      <c r="D300" s="9">
        <v>48</v>
      </c>
      <c r="E300" s="9">
        <v>0</v>
      </c>
      <c r="F300" s="26">
        <v>0.97959183673469385</v>
      </c>
      <c r="G300" s="24">
        <v>0</v>
      </c>
    </row>
    <row r="301" spans="1:7" x14ac:dyDescent="0.25">
      <c r="A301" s="9" t="s">
        <v>78</v>
      </c>
      <c r="B301" s="9" t="s">
        <v>88</v>
      </c>
      <c r="C301" s="9">
        <v>63</v>
      </c>
      <c r="D301" s="9">
        <v>58</v>
      </c>
      <c r="E301" s="9">
        <v>4</v>
      </c>
      <c r="F301" s="26">
        <v>0.92063492063492058</v>
      </c>
      <c r="G301" s="24">
        <v>6.8965517241379309E-2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9FFE-4E89-49BD-90A0-F5684319805E}">
  <dimension ref="A3:B8"/>
  <sheetViews>
    <sheetView workbookViewId="0">
      <selection activeCell="A4" sqref="A4:B7"/>
    </sheetView>
  </sheetViews>
  <sheetFormatPr defaultRowHeight="15" x14ac:dyDescent="0.25"/>
  <cols>
    <col min="1" max="1" width="13.140625" bestFit="1" customWidth="1"/>
    <col min="2" max="2" width="19.85546875" bestFit="1" customWidth="1"/>
  </cols>
  <sheetData>
    <row r="3" spans="1:2" x14ac:dyDescent="0.25">
      <c r="A3" s="21" t="s">
        <v>148</v>
      </c>
      <c r="B3" t="s">
        <v>151</v>
      </c>
    </row>
    <row r="4" spans="1:2" x14ac:dyDescent="0.25">
      <c r="A4" s="22" t="s">
        <v>28</v>
      </c>
      <c r="B4" s="31">
        <v>194663.69968765191</v>
      </c>
    </row>
    <row r="5" spans="1:2" x14ac:dyDescent="0.25">
      <c r="A5" s="22" t="s">
        <v>9</v>
      </c>
      <c r="B5" s="31">
        <v>303170.88164387317</v>
      </c>
    </row>
    <row r="6" spans="1:2" x14ac:dyDescent="0.25">
      <c r="A6" s="22" t="s">
        <v>23</v>
      </c>
      <c r="B6" s="31">
        <v>184986.67503386951</v>
      </c>
    </row>
    <row r="7" spans="1:2" x14ac:dyDescent="0.25">
      <c r="A7" s="22" t="s">
        <v>14</v>
      </c>
      <c r="B7" s="31">
        <v>206635.4034406454</v>
      </c>
    </row>
    <row r="8" spans="1:2" x14ac:dyDescent="0.25">
      <c r="A8" s="22" t="s">
        <v>149</v>
      </c>
      <c r="B8" s="31">
        <v>889456.65980604012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7BE5-DF2A-4B8B-9BB8-1182B052E720}">
  <dimension ref="A3:B10"/>
  <sheetViews>
    <sheetView workbookViewId="0">
      <selection activeCell="U28" sqref="U28"/>
    </sheetView>
  </sheetViews>
  <sheetFormatPr defaultRowHeight="15" x14ac:dyDescent="0.25"/>
  <cols>
    <col min="1" max="1" width="13.140625" bestFit="1" customWidth="1"/>
    <col min="2" max="2" width="19.85546875" bestFit="1" customWidth="1"/>
  </cols>
  <sheetData>
    <row r="3" spans="1:2" x14ac:dyDescent="0.25">
      <c r="A3" s="21" t="s">
        <v>148</v>
      </c>
      <c r="B3" t="s">
        <v>151</v>
      </c>
    </row>
    <row r="4" spans="1:2" x14ac:dyDescent="0.25">
      <c r="A4" s="22" t="s">
        <v>86</v>
      </c>
      <c r="B4" s="31">
        <v>210336.9131389269</v>
      </c>
    </row>
    <row r="5" spans="1:2" x14ac:dyDescent="0.25">
      <c r="A5" s="22" t="s">
        <v>84</v>
      </c>
      <c r="B5" s="31">
        <v>124211.60115050664</v>
      </c>
    </row>
    <row r="6" spans="1:2" x14ac:dyDescent="0.25">
      <c r="A6" s="22" t="s">
        <v>83</v>
      </c>
      <c r="B6" s="31">
        <v>175243.82291718718</v>
      </c>
    </row>
    <row r="7" spans="1:2" x14ac:dyDescent="0.25">
      <c r="A7" s="22" t="s">
        <v>88</v>
      </c>
      <c r="B7" s="31">
        <v>218332.83148947451</v>
      </c>
    </row>
    <row r="8" spans="1:2" x14ac:dyDescent="0.25">
      <c r="A8" s="22" t="s">
        <v>85</v>
      </c>
      <c r="B8" s="31">
        <v>43062.096603755337</v>
      </c>
    </row>
    <row r="9" spans="1:2" x14ac:dyDescent="0.25">
      <c r="A9" s="22" t="s">
        <v>87</v>
      </c>
      <c r="B9" s="31">
        <v>118269.39450618946</v>
      </c>
    </row>
    <row r="10" spans="1:2" x14ac:dyDescent="0.25">
      <c r="A10" s="22" t="s">
        <v>149</v>
      </c>
      <c r="B10" s="31">
        <v>889456.65980604012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CD3A-4C60-43A2-8FED-BD7C5115F053}">
  <dimension ref="A1:B8"/>
  <sheetViews>
    <sheetView workbookViewId="0">
      <selection activeCell="U28" sqref="U28"/>
    </sheetView>
  </sheetViews>
  <sheetFormatPr defaultRowHeight="15" x14ac:dyDescent="0.25"/>
  <cols>
    <col min="1" max="1" width="13.140625" bestFit="1" customWidth="1"/>
    <col min="2" max="2" width="15.85546875" bestFit="1" customWidth="1"/>
    <col min="3" max="3" width="3.42578125" bestFit="1" customWidth="1"/>
    <col min="4" max="4" width="3" bestFit="1" customWidth="1"/>
    <col min="5" max="5" width="5.5703125" bestFit="1" customWidth="1"/>
    <col min="6" max="6" width="11.28515625" bestFit="1" customWidth="1"/>
  </cols>
  <sheetData>
    <row r="1" spans="1:2" x14ac:dyDescent="0.25">
      <c r="A1" s="21" t="s">
        <v>93</v>
      </c>
      <c r="B1" t="s">
        <v>155</v>
      </c>
    </row>
    <row r="3" spans="1:2" x14ac:dyDescent="0.25">
      <c r="A3" s="21" t="s">
        <v>148</v>
      </c>
      <c r="B3" t="s">
        <v>158</v>
      </c>
    </row>
    <row r="4" spans="1:2" x14ac:dyDescent="0.25">
      <c r="A4" s="22" t="s">
        <v>28</v>
      </c>
      <c r="B4">
        <v>40</v>
      </c>
    </row>
    <row r="5" spans="1:2" x14ac:dyDescent="0.25">
      <c r="A5" s="22" t="s">
        <v>9</v>
      </c>
      <c r="B5">
        <v>62</v>
      </c>
    </row>
    <row r="6" spans="1:2" x14ac:dyDescent="0.25">
      <c r="A6" s="22" t="s">
        <v>23</v>
      </c>
      <c r="B6">
        <v>46</v>
      </c>
    </row>
    <row r="7" spans="1:2" x14ac:dyDescent="0.25">
      <c r="A7" s="22" t="s">
        <v>14</v>
      </c>
      <c r="B7">
        <v>36</v>
      </c>
    </row>
    <row r="8" spans="1:2" x14ac:dyDescent="0.25">
      <c r="A8" s="22" t="s">
        <v>149</v>
      </c>
      <c r="B8">
        <v>184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20FB-B562-420C-8765-B4CA83E25784}">
  <dimension ref="A2:Q30"/>
  <sheetViews>
    <sheetView topLeftCell="A15" workbookViewId="0">
      <selection activeCell="K33" sqref="K33"/>
    </sheetView>
  </sheetViews>
  <sheetFormatPr defaultRowHeight="15" x14ac:dyDescent="0.25"/>
  <sheetData>
    <row r="2" spans="1:17" x14ac:dyDescent="0.25">
      <c r="O2" s="45" t="s">
        <v>79</v>
      </c>
      <c r="P2" s="45" t="s">
        <v>154</v>
      </c>
      <c r="Q2" s="45" t="s">
        <v>152</v>
      </c>
    </row>
    <row r="3" spans="1:17" x14ac:dyDescent="0.25">
      <c r="A3" s="12"/>
      <c r="B3" s="13"/>
      <c r="C3" s="14"/>
      <c r="O3" s="32" t="s">
        <v>86</v>
      </c>
      <c r="P3" s="46">
        <v>0.14363636363636365</v>
      </c>
      <c r="Q3" s="46">
        <v>0.94533859203455062</v>
      </c>
    </row>
    <row r="4" spans="1:17" x14ac:dyDescent="0.25">
      <c r="A4" s="15"/>
      <c r="B4" s="16"/>
      <c r="C4" s="17"/>
      <c r="O4" s="32" t="s">
        <v>84</v>
      </c>
      <c r="P4" s="46">
        <v>0.13545454545454547</v>
      </c>
      <c r="Q4" s="46">
        <v>0.94492561851739409</v>
      </c>
    </row>
    <row r="5" spans="1:17" x14ac:dyDescent="0.25">
      <c r="A5" s="15"/>
      <c r="B5" s="16"/>
      <c r="C5" s="17"/>
      <c r="O5" s="32" t="s">
        <v>83</v>
      </c>
      <c r="P5" s="46">
        <v>0.14090909090909087</v>
      </c>
      <c r="Q5" s="46">
        <v>0.94029655332759221</v>
      </c>
    </row>
    <row r="6" spans="1:17" x14ac:dyDescent="0.25">
      <c r="A6" s="15"/>
      <c r="B6" s="16"/>
      <c r="C6" s="17"/>
      <c r="O6" s="32" t="s">
        <v>88</v>
      </c>
      <c r="P6" s="46">
        <v>0.15454545454545454</v>
      </c>
      <c r="Q6" s="46">
        <v>0.93197277882570473</v>
      </c>
    </row>
    <row r="7" spans="1:17" x14ac:dyDescent="0.25">
      <c r="A7" s="15"/>
      <c r="B7" s="16"/>
      <c r="C7" s="17"/>
      <c r="O7" s="32" t="s">
        <v>85</v>
      </c>
      <c r="P7" s="46">
        <v>0.14090909090909093</v>
      </c>
      <c r="Q7" s="46">
        <v>0.9523065906737791</v>
      </c>
    </row>
    <row r="8" spans="1:17" x14ac:dyDescent="0.25">
      <c r="A8" s="15"/>
      <c r="B8" s="16"/>
      <c r="C8" s="17"/>
      <c r="O8" s="32" t="s">
        <v>87</v>
      </c>
      <c r="P8" s="46">
        <v>0.14181818181818184</v>
      </c>
      <c r="Q8" s="46">
        <v>0.94892641050710425</v>
      </c>
    </row>
    <row r="9" spans="1:17" x14ac:dyDescent="0.25">
      <c r="A9" s="15"/>
      <c r="B9" s="16"/>
      <c r="C9" s="17"/>
    </row>
    <row r="10" spans="1:17" x14ac:dyDescent="0.25">
      <c r="A10" s="15"/>
      <c r="B10" s="16"/>
      <c r="C10" s="17"/>
      <c r="P10" s="45" t="s">
        <v>154</v>
      </c>
      <c r="Q10" s="45" t="s">
        <v>152</v>
      </c>
    </row>
    <row r="11" spans="1:17" x14ac:dyDescent="0.25">
      <c r="A11" s="15"/>
      <c r="B11" s="16"/>
      <c r="C11" s="17"/>
      <c r="P11" s="46">
        <v>0.14363636363636365</v>
      </c>
      <c r="Q11" s="46">
        <v>0.94533859203455062</v>
      </c>
    </row>
    <row r="12" spans="1:17" x14ac:dyDescent="0.25">
      <c r="A12" s="15"/>
      <c r="B12" s="16"/>
      <c r="C12" s="17"/>
      <c r="P12" s="46">
        <v>0.13545454545454547</v>
      </c>
      <c r="Q12" s="46">
        <v>0.94492561851739409</v>
      </c>
    </row>
    <row r="13" spans="1:17" x14ac:dyDescent="0.25">
      <c r="A13" s="15"/>
      <c r="B13" s="16"/>
      <c r="C13" s="17"/>
      <c r="P13" s="46">
        <v>0.14090909090909087</v>
      </c>
      <c r="Q13" s="46">
        <v>0.94029655332759221</v>
      </c>
    </row>
    <row r="14" spans="1:17" x14ac:dyDescent="0.25">
      <c r="A14" s="15"/>
      <c r="B14" s="16"/>
      <c r="C14" s="17"/>
      <c r="P14" s="46">
        <v>0.15454545454545454</v>
      </c>
      <c r="Q14" s="46">
        <v>0.93197277882570473</v>
      </c>
    </row>
    <row r="15" spans="1:17" x14ac:dyDescent="0.25">
      <c r="A15" s="15"/>
      <c r="B15" s="16"/>
      <c r="C15" s="17"/>
      <c r="P15" s="46">
        <v>0.14090909090909093</v>
      </c>
      <c r="Q15" s="46">
        <v>0.9523065906737791</v>
      </c>
    </row>
    <row r="16" spans="1:17" x14ac:dyDescent="0.25">
      <c r="A16" s="15"/>
      <c r="B16" s="16"/>
      <c r="C16" s="17"/>
      <c r="F16" s="45" t="s">
        <v>79</v>
      </c>
      <c r="G16" s="45" t="s">
        <v>154</v>
      </c>
      <c r="H16" s="45" t="s">
        <v>152</v>
      </c>
      <c r="P16" s="46">
        <v>0.14181818181818184</v>
      </c>
      <c r="Q16" s="46">
        <v>0.94892641050710425</v>
      </c>
    </row>
    <row r="17" spans="1:8" x14ac:dyDescent="0.25">
      <c r="A17" s="15"/>
      <c r="B17" s="16"/>
      <c r="C17" s="17"/>
      <c r="F17" s="32" t="s">
        <v>86</v>
      </c>
      <c r="G17" s="46">
        <v>0.14363636363636365</v>
      </c>
      <c r="H17" s="46">
        <v>0.94533859203455062</v>
      </c>
    </row>
    <row r="18" spans="1:8" x14ac:dyDescent="0.25">
      <c r="A18" s="15"/>
      <c r="B18" s="16"/>
      <c r="C18" s="17"/>
      <c r="F18" s="32" t="s">
        <v>84</v>
      </c>
      <c r="G18" s="46">
        <v>0.13545454545454547</v>
      </c>
      <c r="H18" s="46">
        <v>0.94492561851739409</v>
      </c>
    </row>
    <row r="19" spans="1:8" x14ac:dyDescent="0.25">
      <c r="A19" s="15"/>
      <c r="B19" s="16"/>
      <c r="C19" s="17"/>
      <c r="F19" s="32" t="s">
        <v>83</v>
      </c>
      <c r="G19" s="46">
        <v>0.14090909090909087</v>
      </c>
      <c r="H19" s="46">
        <v>0.94029655332759221</v>
      </c>
    </row>
    <row r="20" spans="1:8" x14ac:dyDescent="0.25">
      <c r="A20" s="18"/>
      <c r="B20" s="19"/>
      <c r="C20" s="20"/>
      <c r="F20" s="32" t="s">
        <v>88</v>
      </c>
      <c r="G20" s="46">
        <v>0.15454545454545454</v>
      </c>
      <c r="H20" s="46">
        <v>0.93197277882570473</v>
      </c>
    </row>
    <row r="21" spans="1:8" x14ac:dyDescent="0.25">
      <c r="F21" s="32" t="s">
        <v>85</v>
      </c>
      <c r="G21" s="46">
        <v>0.14090909090909093</v>
      </c>
      <c r="H21" s="46">
        <v>0.9523065906737791</v>
      </c>
    </row>
    <row r="22" spans="1:8" x14ac:dyDescent="0.25">
      <c r="F22" s="32" t="s">
        <v>87</v>
      </c>
      <c r="G22" s="46">
        <v>0.14181818181818184</v>
      </c>
      <c r="H22" s="46">
        <v>0.94892641050710425</v>
      </c>
    </row>
    <row r="24" spans="1:8" x14ac:dyDescent="0.25">
      <c r="G24" s="45" t="s">
        <v>154</v>
      </c>
      <c r="H24" s="45" t="s">
        <v>152</v>
      </c>
    </row>
    <row r="25" spans="1:8" x14ac:dyDescent="0.25">
      <c r="G25" s="46">
        <v>0.14363636363636365</v>
      </c>
      <c r="H25" s="46">
        <v>0.94533859203455062</v>
      </c>
    </row>
    <row r="26" spans="1:8" x14ac:dyDescent="0.25">
      <c r="G26" s="46">
        <v>0.13545454545454547</v>
      </c>
      <c r="H26" s="46">
        <v>0.94492561851739409</v>
      </c>
    </row>
    <row r="27" spans="1:8" x14ac:dyDescent="0.25">
      <c r="G27" s="46">
        <v>0.14090909090909087</v>
      </c>
      <c r="H27" s="46">
        <v>0.94029655332759221</v>
      </c>
    </row>
    <row r="28" spans="1:8" x14ac:dyDescent="0.25">
      <c r="G28" s="46">
        <v>0.15454545454545454</v>
      </c>
      <c r="H28" s="46">
        <v>0.93197277882570473</v>
      </c>
    </row>
    <row r="29" spans="1:8" x14ac:dyDescent="0.25">
      <c r="G29" s="46">
        <v>0.14090909090909093</v>
      </c>
      <c r="H29" s="46"/>
    </row>
    <row r="30" spans="1:8" x14ac:dyDescent="0.25">
      <c r="G30" s="46">
        <v>0.14181818181818184</v>
      </c>
      <c r="H30" s="4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CF00-DDA2-4D44-AEC4-5139CA79349E}">
  <dimension ref="A3:B6"/>
  <sheetViews>
    <sheetView workbookViewId="0">
      <selection activeCell="H6" sqref="H6"/>
    </sheetView>
  </sheetViews>
  <sheetFormatPr defaultRowHeight="15" x14ac:dyDescent="0.25"/>
  <cols>
    <col min="1" max="1" width="13.140625" bestFit="1" customWidth="1"/>
    <col min="2" max="2" width="19.85546875" bestFit="1" customWidth="1"/>
  </cols>
  <sheetData>
    <row r="3" spans="1:2" x14ac:dyDescent="0.25">
      <c r="A3" s="21" t="s">
        <v>148</v>
      </c>
      <c r="B3" t="s">
        <v>151</v>
      </c>
    </row>
    <row r="4" spans="1:2" x14ac:dyDescent="0.25">
      <c r="A4" s="22" t="s">
        <v>155</v>
      </c>
      <c r="B4" s="31">
        <v>601163.34946504992</v>
      </c>
    </row>
    <row r="5" spans="1:2" x14ac:dyDescent="0.25">
      <c r="A5" s="22" t="s">
        <v>157</v>
      </c>
      <c r="B5" s="31">
        <v>288293.31034099025</v>
      </c>
    </row>
    <row r="6" spans="1:2" x14ac:dyDescent="0.25">
      <c r="A6" s="22" t="s">
        <v>149</v>
      </c>
      <c r="B6" s="31">
        <v>889456.65980604012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03"/>
  <sheetViews>
    <sheetView topLeftCell="C1" zoomScale="96" zoomScaleNormal="96" workbookViewId="0">
      <selection activeCell="L21" sqref="L21"/>
    </sheetView>
  </sheetViews>
  <sheetFormatPr defaultRowHeight="15" x14ac:dyDescent="0.25"/>
  <cols>
    <col min="1" max="1" width="10.7109375" customWidth="1"/>
    <col min="2" max="2" width="20.42578125" bestFit="1" customWidth="1"/>
    <col min="3" max="3" width="9.5703125" customWidth="1"/>
    <col min="4" max="4" width="14.28515625" style="3" customWidth="1"/>
    <col min="5" max="5" width="15.42578125" style="3" customWidth="1"/>
    <col min="6" max="6" width="13.42578125" style="3" customWidth="1"/>
    <col min="7" max="7" width="15.85546875" style="3" customWidth="1"/>
    <col min="8" max="8" width="18" customWidth="1"/>
    <col min="9" max="9" width="16.42578125" style="31" customWidth="1"/>
    <col min="10" max="17" width="12.5703125" customWidth="1"/>
    <col min="18" max="18" width="17.5703125" style="4" customWidth="1"/>
    <col min="20" max="20" width="10.85546875" bestFit="1" customWidth="1"/>
    <col min="21" max="21" width="20.7109375" bestFit="1" customWidth="1"/>
    <col min="22" max="22" width="22.140625" bestFit="1" customWidth="1"/>
  </cols>
  <sheetData>
    <row r="1" spans="1:21" x14ac:dyDescent="0.25">
      <c r="A1" s="35" t="s">
        <v>0</v>
      </c>
      <c r="B1" s="36" t="s">
        <v>79</v>
      </c>
      <c r="C1" s="36" t="s">
        <v>94</v>
      </c>
      <c r="D1" s="36" t="s">
        <v>152</v>
      </c>
      <c r="E1" s="36" t="s">
        <v>153</v>
      </c>
      <c r="F1" s="36" t="s">
        <v>154</v>
      </c>
      <c r="G1" s="36" t="s">
        <v>97</v>
      </c>
      <c r="H1" s="37" t="s">
        <v>92</v>
      </c>
      <c r="I1" s="38" t="s">
        <v>93</v>
      </c>
      <c r="J1" s="38" t="s">
        <v>150</v>
      </c>
      <c r="K1" s="49"/>
      <c r="L1" s="49"/>
      <c r="M1" s="49"/>
      <c r="N1" s="49"/>
      <c r="O1" s="49"/>
      <c r="P1" s="49"/>
      <c r="Q1" s="49"/>
      <c r="R1"/>
    </row>
    <row r="2" spans="1:21" x14ac:dyDescent="0.25">
      <c r="A2" s="33" t="s">
        <v>8</v>
      </c>
      <c r="B2" s="9" t="s">
        <v>84</v>
      </c>
      <c r="C2" s="24">
        <v>0.72727272727272729</v>
      </c>
      <c r="D2" s="24">
        <v>1</v>
      </c>
      <c r="E2" s="24">
        <v>0</v>
      </c>
      <c r="F2" s="24">
        <v>0.27272727272727271</v>
      </c>
      <c r="G2" s="9">
        <f>_xlfn.XLOOKUP(A2,Employee_Master!A:A,Employee_Master!F:F)</f>
        <v>55448</v>
      </c>
      <c r="H2" s="29">
        <v>0</v>
      </c>
      <c r="I2" s="23" t="s">
        <v>155</v>
      </c>
      <c r="J2" s="34" t="str">
        <f>_xlfn.XLOOKUP(A2,Employee_Master!A:A,Employee_Master!C:C)</f>
        <v>HR</v>
      </c>
      <c r="K2" s="48"/>
      <c r="L2" s="48"/>
      <c r="M2" s="48"/>
      <c r="N2" s="48"/>
      <c r="O2" s="48"/>
      <c r="P2" s="48"/>
      <c r="Q2" s="48"/>
      <c r="R2"/>
      <c r="S2" s="45" t="s">
        <v>79</v>
      </c>
      <c r="T2" s="45" t="s">
        <v>154</v>
      </c>
      <c r="U2" s="45" t="s">
        <v>152</v>
      </c>
    </row>
    <row r="3" spans="1:21" x14ac:dyDescent="0.25">
      <c r="A3" s="33" t="s">
        <v>13</v>
      </c>
      <c r="B3" s="9" t="s">
        <v>83</v>
      </c>
      <c r="C3" s="24">
        <v>0.81818181818181823</v>
      </c>
      <c r="D3" s="24">
        <v>1</v>
      </c>
      <c r="E3" s="24">
        <v>5.7692307692307689E-2</v>
      </c>
      <c r="F3" s="24">
        <v>0.18181818181818182</v>
      </c>
      <c r="G3" s="9">
        <f>_xlfn.XLOOKUP(A3,Employee_Master!A:A,Employee_Master!F:F)</f>
        <v>66433</v>
      </c>
      <c r="H3" s="29">
        <v>0</v>
      </c>
      <c r="I3" s="23" t="s">
        <v>155</v>
      </c>
      <c r="J3" s="34" t="str">
        <f>_xlfn.XLOOKUP(A3,Employee_Master!A:A,Employee_Master!C:C)</f>
        <v>Sales</v>
      </c>
      <c r="K3" s="48"/>
      <c r="L3" s="48"/>
      <c r="M3" s="48"/>
      <c r="N3" s="48"/>
      <c r="O3" s="48"/>
      <c r="P3" s="48"/>
      <c r="Q3" s="48"/>
      <c r="R3"/>
      <c r="S3" s="32" t="s">
        <v>86</v>
      </c>
      <c r="T3" s="46">
        <v>0.14363636363636365</v>
      </c>
      <c r="U3" s="46">
        <v>0.94533859203455062</v>
      </c>
    </row>
    <row r="4" spans="1:21" x14ac:dyDescent="0.25">
      <c r="A4" s="33" t="s">
        <v>13</v>
      </c>
      <c r="B4" s="9" t="s">
        <v>88</v>
      </c>
      <c r="C4" s="24">
        <v>0.81818181818181823</v>
      </c>
      <c r="D4" s="24">
        <v>1</v>
      </c>
      <c r="E4" s="24">
        <v>0</v>
      </c>
      <c r="F4" s="24">
        <v>0.18181818181818182</v>
      </c>
      <c r="G4" s="9">
        <f>_xlfn.XLOOKUP(A4,Employee_Master!A:A,Employee_Master!F:F)</f>
        <v>66433</v>
      </c>
      <c r="H4" s="29">
        <v>0</v>
      </c>
      <c r="I4" s="23" t="s">
        <v>155</v>
      </c>
      <c r="J4" s="34" t="str">
        <f>_xlfn.XLOOKUP(A4,Employee_Master!A:A,Employee_Master!C:C)</f>
        <v>Sales</v>
      </c>
      <c r="K4" s="48"/>
      <c r="L4" s="48"/>
      <c r="M4" s="48"/>
      <c r="N4" s="48"/>
      <c r="O4" s="48"/>
      <c r="P4" s="48"/>
      <c r="Q4" s="48"/>
      <c r="R4"/>
      <c r="S4" s="32" t="s">
        <v>84</v>
      </c>
      <c r="T4" s="46">
        <v>0.13545454545454547</v>
      </c>
      <c r="U4" s="46">
        <v>0.94492561851739409</v>
      </c>
    </row>
    <row r="5" spans="1:21" x14ac:dyDescent="0.25">
      <c r="A5" s="33" t="s">
        <v>26</v>
      </c>
      <c r="B5" s="9" t="s">
        <v>83</v>
      </c>
      <c r="C5" s="24">
        <v>0.81818181818181823</v>
      </c>
      <c r="D5" s="24">
        <v>1</v>
      </c>
      <c r="E5" s="24">
        <v>0</v>
      </c>
      <c r="F5" s="24">
        <v>0.18181818181818182</v>
      </c>
      <c r="G5" s="9">
        <f>_xlfn.XLOOKUP(A5,Employee_Master!A:A,Employee_Master!F:F)</f>
        <v>42012</v>
      </c>
      <c r="H5" s="29">
        <v>0</v>
      </c>
      <c r="I5" s="23" t="s">
        <v>155</v>
      </c>
      <c r="J5" s="34" t="str">
        <f>_xlfn.XLOOKUP(A5,Employee_Master!A:A,Employee_Master!C:C)</f>
        <v>Sales</v>
      </c>
      <c r="K5" s="48"/>
      <c r="L5" s="48"/>
      <c r="M5" s="48"/>
      <c r="N5" s="48"/>
      <c r="O5" s="48"/>
      <c r="P5" s="48"/>
      <c r="Q5" s="48"/>
      <c r="R5"/>
      <c r="S5" s="32" t="s">
        <v>83</v>
      </c>
      <c r="T5" s="46">
        <v>0.14090909090909087</v>
      </c>
      <c r="U5" s="46">
        <v>0.94029655332759221</v>
      </c>
    </row>
    <row r="6" spans="1:21" x14ac:dyDescent="0.25">
      <c r="A6" s="33" t="s">
        <v>27</v>
      </c>
      <c r="B6" s="9" t="s">
        <v>86</v>
      </c>
      <c r="C6" s="24">
        <v>0.72727272727272729</v>
      </c>
      <c r="D6" s="24">
        <v>1</v>
      </c>
      <c r="E6" s="24">
        <v>0</v>
      </c>
      <c r="F6" s="24">
        <v>0.27272727272727271</v>
      </c>
      <c r="G6" s="9">
        <f>_xlfn.XLOOKUP(A6,Employee_Master!A:A,Employee_Master!F:F)</f>
        <v>37736</v>
      </c>
      <c r="H6" s="29">
        <v>0</v>
      </c>
      <c r="I6" s="23" t="s">
        <v>155</v>
      </c>
      <c r="J6" s="34" t="str">
        <f>_xlfn.XLOOKUP(A6,Employee_Master!A:A,Employee_Master!C:C)</f>
        <v>Finance</v>
      </c>
      <c r="K6" s="48"/>
      <c r="L6" s="48"/>
      <c r="M6" s="48"/>
      <c r="N6" s="48"/>
      <c r="O6" s="48"/>
      <c r="P6" s="48"/>
      <c r="Q6" s="48"/>
      <c r="R6"/>
      <c r="S6" s="32" t="s">
        <v>88</v>
      </c>
      <c r="T6" s="46">
        <v>0.15454545454545454</v>
      </c>
      <c r="U6" s="46">
        <v>0.93197277882570473</v>
      </c>
    </row>
    <row r="7" spans="1:21" hidden="1" x14ac:dyDescent="0.25">
      <c r="A7" s="33" t="s">
        <v>27</v>
      </c>
      <c r="B7" s="9" t="s">
        <v>88</v>
      </c>
      <c r="C7" s="24">
        <v>0.95454545454545459</v>
      </c>
      <c r="D7" s="24">
        <v>1</v>
      </c>
      <c r="E7" s="24">
        <v>5.8823529411764698E-2</v>
      </c>
      <c r="F7" s="24">
        <v>4.5454545454545456E-2</v>
      </c>
      <c r="G7" s="9">
        <f>_xlfn.XLOOKUP(A7,Employee_Master!A:A,Employee_Master!F:F)</f>
        <v>37736</v>
      </c>
      <c r="H7" s="29">
        <v>0</v>
      </c>
      <c r="I7" s="23" t="s">
        <v>156</v>
      </c>
      <c r="J7" s="34" t="str">
        <f>_xlfn.XLOOKUP(A7,Employee_Master!A:A,Employee_Master!C:C)</f>
        <v>Finance</v>
      </c>
      <c r="K7" s="48"/>
      <c r="L7" s="48"/>
      <c r="M7" s="48"/>
      <c r="N7" s="48"/>
      <c r="O7" s="48"/>
      <c r="P7" s="48"/>
      <c r="Q7" s="48"/>
      <c r="R7"/>
      <c r="S7" s="32" t="s">
        <v>85</v>
      </c>
      <c r="T7" s="46">
        <v>0.14090909090909093</v>
      </c>
      <c r="U7" s="46">
        <v>0.9523065906737791</v>
      </c>
    </row>
    <row r="8" spans="1:21" x14ac:dyDescent="0.25">
      <c r="A8" s="33" t="s">
        <v>33</v>
      </c>
      <c r="B8" s="9" t="s">
        <v>87</v>
      </c>
      <c r="C8" s="24">
        <v>0.72727272727272729</v>
      </c>
      <c r="D8" s="24">
        <v>1</v>
      </c>
      <c r="E8" s="24">
        <v>0</v>
      </c>
      <c r="F8" s="24">
        <v>0.27272727272727271</v>
      </c>
      <c r="G8" s="9">
        <f>_xlfn.XLOOKUP(A8,Employee_Master!A:A,Employee_Master!F:F)</f>
        <v>46257</v>
      </c>
      <c r="H8" s="29">
        <v>0</v>
      </c>
      <c r="I8" s="23" t="s">
        <v>155</v>
      </c>
      <c r="J8" s="34" t="str">
        <f>_xlfn.XLOOKUP(A8,Employee_Master!A:A,Employee_Master!C:C)</f>
        <v>HR</v>
      </c>
      <c r="K8" s="48"/>
      <c r="L8" s="48"/>
      <c r="M8" s="48"/>
      <c r="N8" s="48"/>
      <c r="O8" s="48"/>
      <c r="P8" s="48"/>
      <c r="Q8" s="48"/>
      <c r="R8"/>
      <c r="S8" s="32" t="s">
        <v>87</v>
      </c>
      <c r="T8" s="46">
        <v>0.14181818181818184</v>
      </c>
      <c r="U8" s="46">
        <v>0.94892641050710425</v>
      </c>
    </row>
    <row r="9" spans="1:21" hidden="1" x14ac:dyDescent="0.25">
      <c r="A9" s="33" t="s">
        <v>36</v>
      </c>
      <c r="B9" s="9" t="s">
        <v>85</v>
      </c>
      <c r="C9" s="24">
        <v>0.95454545454545459</v>
      </c>
      <c r="D9" s="24">
        <v>1</v>
      </c>
      <c r="E9" s="24">
        <v>0</v>
      </c>
      <c r="F9" s="24">
        <v>4.5454545454545456E-2</v>
      </c>
      <c r="G9" s="9">
        <f>_xlfn.XLOOKUP(A9,Employee_Master!A:A,Employee_Master!F:F)</f>
        <v>42493</v>
      </c>
      <c r="H9" s="29">
        <v>0</v>
      </c>
      <c r="I9" s="23" t="s">
        <v>156</v>
      </c>
      <c r="J9" s="34" t="str">
        <f>_xlfn.XLOOKUP(A9,Employee_Master!A:A,Employee_Master!C:C)</f>
        <v>IT</v>
      </c>
      <c r="K9" s="48"/>
      <c r="L9" s="48"/>
      <c r="M9" s="48"/>
      <c r="N9" s="48"/>
      <c r="O9" s="48"/>
      <c r="P9" s="48"/>
      <c r="Q9" s="48"/>
      <c r="R9"/>
    </row>
    <row r="10" spans="1:21" x14ac:dyDescent="0.25">
      <c r="A10" s="33" t="s">
        <v>36</v>
      </c>
      <c r="B10" s="9" t="s">
        <v>86</v>
      </c>
      <c r="C10" s="24">
        <v>0.72727272727272729</v>
      </c>
      <c r="D10" s="24">
        <v>1</v>
      </c>
      <c r="E10" s="24">
        <v>1.6393442622950821E-2</v>
      </c>
      <c r="F10" s="24">
        <v>0.27272727272727271</v>
      </c>
      <c r="G10" s="9">
        <f>_xlfn.XLOOKUP(A10,Employee_Master!A:A,Employee_Master!F:F)</f>
        <v>42493</v>
      </c>
      <c r="H10" s="29">
        <v>0</v>
      </c>
      <c r="I10" s="23" t="s">
        <v>155</v>
      </c>
      <c r="J10" s="34" t="str">
        <f>_xlfn.XLOOKUP(A10,Employee_Master!A:A,Employee_Master!C:C)</f>
        <v>IT</v>
      </c>
      <c r="K10" s="48"/>
      <c r="L10" s="48"/>
      <c r="M10" s="48"/>
      <c r="N10" s="48"/>
      <c r="O10" s="48"/>
      <c r="P10" s="48"/>
      <c r="Q10" s="48"/>
      <c r="R10"/>
      <c r="T10" s="45" t="s">
        <v>154</v>
      </c>
      <c r="U10" s="45" t="s">
        <v>152</v>
      </c>
    </row>
    <row r="11" spans="1:21" x14ac:dyDescent="0.25">
      <c r="A11" s="33" t="s">
        <v>38</v>
      </c>
      <c r="B11" s="9" t="s">
        <v>83</v>
      </c>
      <c r="C11" s="24">
        <v>0.81818181818181823</v>
      </c>
      <c r="D11" s="24">
        <v>1</v>
      </c>
      <c r="E11" s="24">
        <v>5.8823529411764698E-2</v>
      </c>
      <c r="F11" s="24">
        <v>0.18181818181818182</v>
      </c>
      <c r="G11" s="9">
        <f>_xlfn.XLOOKUP(A11,Employee_Master!A:A,Employee_Master!F:F)</f>
        <v>36447</v>
      </c>
      <c r="H11" s="29">
        <v>0</v>
      </c>
      <c r="I11" s="23" t="s">
        <v>155</v>
      </c>
      <c r="J11" s="34" t="str">
        <f>_xlfn.XLOOKUP(A11,Employee_Master!A:A,Employee_Master!C:C)</f>
        <v>IT</v>
      </c>
      <c r="K11" s="48"/>
      <c r="L11" s="48"/>
      <c r="M11" s="48"/>
      <c r="N11" s="48"/>
      <c r="O11" s="48"/>
      <c r="P11" s="48"/>
      <c r="Q11" s="48"/>
      <c r="R11"/>
      <c r="T11" s="46">
        <v>0.14363636363636365</v>
      </c>
      <c r="U11" s="46">
        <v>0.94533859203455062</v>
      </c>
    </row>
    <row r="12" spans="1:21" x14ac:dyDescent="0.25">
      <c r="A12" s="33" t="s">
        <v>38</v>
      </c>
      <c r="B12" s="9" t="s">
        <v>85</v>
      </c>
      <c r="C12" s="24">
        <v>0.81818181818181823</v>
      </c>
      <c r="D12" s="24">
        <v>1</v>
      </c>
      <c r="E12" s="24">
        <v>0</v>
      </c>
      <c r="F12" s="24">
        <v>0.18181818181818182</v>
      </c>
      <c r="G12" s="9">
        <f>_xlfn.XLOOKUP(A12,Employee_Master!A:A,Employee_Master!F:F)</f>
        <v>36447</v>
      </c>
      <c r="H12" s="29">
        <v>0</v>
      </c>
      <c r="I12" s="23" t="s">
        <v>155</v>
      </c>
      <c r="J12" s="34" t="str">
        <f>_xlfn.XLOOKUP(A12,Employee_Master!A:A,Employee_Master!C:C)</f>
        <v>IT</v>
      </c>
      <c r="K12" s="48"/>
      <c r="L12" s="48"/>
      <c r="M12" s="48"/>
      <c r="N12" s="48"/>
      <c r="O12" s="48"/>
      <c r="P12" s="48"/>
      <c r="Q12" s="48"/>
      <c r="R12"/>
      <c r="T12" s="46">
        <v>0.13545454545454547</v>
      </c>
      <c r="U12" s="46">
        <v>0.94492561851739409</v>
      </c>
    </row>
    <row r="13" spans="1:21" x14ac:dyDescent="0.25">
      <c r="A13" s="33" t="s">
        <v>39</v>
      </c>
      <c r="B13" s="9" t="s">
        <v>85</v>
      </c>
      <c r="C13" s="24">
        <v>0.86363636363636365</v>
      </c>
      <c r="D13" s="24">
        <v>1</v>
      </c>
      <c r="E13" s="24">
        <v>1.2048192771084338E-2</v>
      </c>
      <c r="F13" s="24">
        <v>0.13636363636363635</v>
      </c>
      <c r="G13" s="9">
        <f>_xlfn.XLOOKUP(A13,Employee_Master!A:A,Employee_Master!F:F)</f>
        <v>89085</v>
      </c>
      <c r="H13" s="29">
        <v>0</v>
      </c>
      <c r="I13" s="23" t="s">
        <v>155</v>
      </c>
      <c r="J13" s="34" t="str">
        <f>_xlfn.XLOOKUP(A13,Employee_Master!A:A,Employee_Master!C:C)</f>
        <v>Sales</v>
      </c>
      <c r="K13" s="48"/>
      <c r="L13" s="48"/>
      <c r="M13" s="48"/>
      <c r="N13" s="48"/>
      <c r="O13" s="48"/>
      <c r="P13" s="48"/>
      <c r="Q13" s="48"/>
      <c r="R13"/>
      <c r="T13" s="46">
        <v>0.14090909090909087</v>
      </c>
      <c r="U13" s="46">
        <v>0.94029655332759221</v>
      </c>
    </row>
    <row r="14" spans="1:21" x14ac:dyDescent="0.25">
      <c r="A14" s="33" t="s">
        <v>40</v>
      </c>
      <c r="B14" s="9" t="s">
        <v>83</v>
      </c>
      <c r="C14" s="24">
        <v>0.86363636363636365</v>
      </c>
      <c r="D14" s="24">
        <v>1</v>
      </c>
      <c r="E14" s="24">
        <v>1.282051282051282E-2</v>
      </c>
      <c r="F14" s="24">
        <v>0.13636363636363635</v>
      </c>
      <c r="G14" s="9">
        <f>_xlfn.XLOOKUP(A14,Employee_Master!A:A,Employee_Master!F:F)</f>
        <v>41091</v>
      </c>
      <c r="H14" s="29">
        <v>0</v>
      </c>
      <c r="I14" s="23" t="s">
        <v>155</v>
      </c>
      <c r="J14" s="34" t="str">
        <f>_xlfn.XLOOKUP(A14,Employee_Master!A:A,Employee_Master!C:C)</f>
        <v>HR</v>
      </c>
      <c r="K14" s="48"/>
      <c r="L14" s="48"/>
      <c r="M14" s="48"/>
      <c r="N14" s="48"/>
      <c r="O14" s="48"/>
      <c r="P14" s="48"/>
      <c r="Q14" s="48"/>
      <c r="R14"/>
      <c r="T14" s="46">
        <v>0.15454545454545454</v>
      </c>
      <c r="U14" s="46">
        <v>0.93197277882570473</v>
      </c>
    </row>
    <row r="15" spans="1:21" x14ac:dyDescent="0.25">
      <c r="A15" s="33" t="s">
        <v>41</v>
      </c>
      <c r="B15" s="9" t="s">
        <v>84</v>
      </c>
      <c r="C15" s="24">
        <v>0.90909090909090906</v>
      </c>
      <c r="D15" s="24">
        <v>1</v>
      </c>
      <c r="E15" s="24">
        <v>0</v>
      </c>
      <c r="F15" s="24">
        <v>9.0909090909090912E-2</v>
      </c>
      <c r="G15" s="9">
        <f>_xlfn.XLOOKUP(A15,Employee_Master!A:A,Employee_Master!F:F)</f>
        <v>38287</v>
      </c>
      <c r="H15" s="29">
        <v>0</v>
      </c>
      <c r="I15" s="23" t="s">
        <v>157</v>
      </c>
      <c r="J15" s="34" t="str">
        <f>_xlfn.XLOOKUP(A15,Employee_Master!A:A,Employee_Master!C:C)</f>
        <v>Sales</v>
      </c>
      <c r="K15" s="48"/>
      <c r="L15" s="48"/>
      <c r="M15" s="48"/>
      <c r="N15" s="48"/>
      <c r="O15" s="48"/>
      <c r="P15" s="48"/>
      <c r="Q15" s="48"/>
      <c r="R15"/>
      <c r="T15" s="46">
        <v>0.14090909090909093</v>
      </c>
      <c r="U15" s="46">
        <v>0.95</v>
      </c>
    </row>
    <row r="16" spans="1:21" x14ac:dyDescent="0.25">
      <c r="A16" s="33" t="s">
        <v>41</v>
      </c>
      <c r="B16" s="9" t="s">
        <v>86</v>
      </c>
      <c r="C16" s="24">
        <v>0.81818181818181823</v>
      </c>
      <c r="D16" s="24">
        <v>1</v>
      </c>
      <c r="E16" s="24">
        <v>5.5555555555555552E-2</v>
      </c>
      <c r="F16" s="24">
        <v>0.18181818181818182</v>
      </c>
      <c r="G16" s="9">
        <f>_xlfn.XLOOKUP(A16,Employee_Master!A:A,Employee_Master!F:F)</f>
        <v>38287</v>
      </c>
      <c r="H16" s="29">
        <v>0</v>
      </c>
      <c r="I16" s="23" t="s">
        <v>155</v>
      </c>
      <c r="J16" s="34" t="str">
        <f>_xlfn.XLOOKUP(A16,Employee_Master!A:A,Employee_Master!C:C)</f>
        <v>Sales</v>
      </c>
      <c r="K16" s="48"/>
      <c r="L16" s="48"/>
      <c r="M16" s="48"/>
      <c r="N16" s="48"/>
      <c r="O16" s="48"/>
      <c r="P16" s="48"/>
      <c r="Q16" s="48"/>
      <c r="R16"/>
      <c r="T16" s="46">
        <v>0.14181818181818184</v>
      </c>
      <c r="U16" s="46">
        <v>0.95</v>
      </c>
    </row>
    <row r="17" spans="1:18" x14ac:dyDescent="0.25">
      <c r="A17" s="33" t="s">
        <v>41</v>
      </c>
      <c r="B17" s="9" t="s">
        <v>87</v>
      </c>
      <c r="C17" s="24">
        <v>0.72727272727272729</v>
      </c>
      <c r="D17" s="24">
        <v>1</v>
      </c>
      <c r="E17" s="24">
        <v>0.13513513513513514</v>
      </c>
      <c r="F17" s="24">
        <v>0.27272727272727271</v>
      </c>
      <c r="G17" s="9">
        <f>_xlfn.XLOOKUP(A17,Employee_Master!A:A,Employee_Master!F:F)</f>
        <v>38287</v>
      </c>
      <c r="H17" s="29">
        <v>0</v>
      </c>
      <c r="I17" s="23" t="s">
        <v>155</v>
      </c>
      <c r="J17" s="34" t="str">
        <f>_xlfn.XLOOKUP(A17,Employee_Master!A:A,Employee_Master!C:C)</f>
        <v>Sales</v>
      </c>
      <c r="K17" s="48"/>
      <c r="L17" s="48"/>
      <c r="M17" s="48"/>
      <c r="N17" s="48"/>
      <c r="O17" s="48"/>
      <c r="P17" s="48"/>
      <c r="Q17" s="48"/>
      <c r="R17"/>
    </row>
    <row r="18" spans="1:18" x14ac:dyDescent="0.25">
      <c r="A18" s="33" t="s">
        <v>43</v>
      </c>
      <c r="B18" s="9" t="s">
        <v>83</v>
      </c>
      <c r="C18" s="24">
        <v>0.86363636363636365</v>
      </c>
      <c r="D18" s="24">
        <v>1</v>
      </c>
      <c r="E18" s="24">
        <v>0.12820512820512819</v>
      </c>
      <c r="F18" s="24">
        <v>0.13636363636363635</v>
      </c>
      <c r="G18" s="9">
        <f>_xlfn.XLOOKUP(A18,Employee_Master!A:A,Employee_Master!F:F)</f>
        <v>59857</v>
      </c>
      <c r="H18" s="29">
        <v>0</v>
      </c>
      <c r="I18" s="23" t="s">
        <v>155</v>
      </c>
      <c r="J18" s="34" t="str">
        <f>_xlfn.XLOOKUP(A18,Employee_Master!A:A,Employee_Master!C:C)</f>
        <v>Finance</v>
      </c>
      <c r="K18" s="48"/>
      <c r="L18" s="48"/>
      <c r="M18" s="48"/>
      <c r="N18" s="48"/>
      <c r="O18" s="48"/>
      <c r="P18" s="48"/>
      <c r="Q18" s="48"/>
      <c r="R18"/>
    </row>
    <row r="19" spans="1:18" x14ac:dyDescent="0.25">
      <c r="A19" s="33" t="s">
        <v>43</v>
      </c>
      <c r="B19" s="9" t="s">
        <v>86</v>
      </c>
      <c r="C19" s="24">
        <v>0.81818181818181823</v>
      </c>
      <c r="D19" s="24">
        <v>1</v>
      </c>
      <c r="E19" s="24">
        <v>7.6923076923076927E-2</v>
      </c>
      <c r="F19" s="24">
        <v>0.18181818181818182</v>
      </c>
      <c r="G19" s="9">
        <f>_xlfn.XLOOKUP(A19,Employee_Master!A:A,Employee_Master!F:F)</f>
        <v>59857</v>
      </c>
      <c r="H19" s="29">
        <v>0</v>
      </c>
      <c r="I19" s="23" t="s">
        <v>155</v>
      </c>
      <c r="J19" s="34" t="str">
        <f>_xlfn.XLOOKUP(A19,Employee_Master!A:A,Employee_Master!C:C)</f>
        <v>Finance</v>
      </c>
      <c r="K19" s="48"/>
      <c r="L19" s="48"/>
      <c r="M19" s="48"/>
      <c r="N19" s="48"/>
      <c r="O19" s="48"/>
      <c r="P19" s="48"/>
      <c r="Q19" s="48"/>
      <c r="R19"/>
    </row>
    <row r="20" spans="1:18" x14ac:dyDescent="0.25">
      <c r="A20" s="33" t="s">
        <v>48</v>
      </c>
      <c r="B20" s="9" t="s">
        <v>85</v>
      </c>
      <c r="C20" s="24">
        <v>0.77272727272727271</v>
      </c>
      <c r="D20" s="24">
        <v>1</v>
      </c>
      <c r="E20" s="24">
        <v>1.5625E-2</v>
      </c>
      <c r="F20" s="24">
        <v>0.22727272727272727</v>
      </c>
      <c r="G20" s="9">
        <f>_xlfn.XLOOKUP(A20,Employee_Master!A:A,Employee_Master!F:F)</f>
        <v>75277</v>
      </c>
      <c r="H20" s="29">
        <v>0</v>
      </c>
      <c r="I20" s="23" t="s">
        <v>155</v>
      </c>
      <c r="J20" s="34" t="str">
        <f>_xlfn.XLOOKUP(A20,Employee_Master!A:A,Employee_Master!C:C)</f>
        <v>HR</v>
      </c>
      <c r="K20" s="48"/>
      <c r="L20" s="48"/>
      <c r="M20" s="48"/>
      <c r="N20" s="48"/>
      <c r="O20" s="48"/>
      <c r="P20" s="48"/>
      <c r="Q20" s="48"/>
      <c r="R20"/>
    </row>
    <row r="21" spans="1:18" x14ac:dyDescent="0.25">
      <c r="A21" s="33" t="s">
        <v>49</v>
      </c>
      <c r="B21" s="9" t="s">
        <v>87</v>
      </c>
      <c r="C21" s="24">
        <v>0.86363636363636365</v>
      </c>
      <c r="D21" s="24">
        <v>1</v>
      </c>
      <c r="E21" s="24">
        <v>7.5471698113207544E-2</v>
      </c>
      <c r="F21" s="24">
        <v>0.13636363636363635</v>
      </c>
      <c r="G21" s="9">
        <f>_xlfn.XLOOKUP(A21,Employee_Master!A:A,Employee_Master!F:F)</f>
        <v>74159</v>
      </c>
      <c r="H21" s="29">
        <v>0</v>
      </c>
      <c r="I21" s="23" t="s">
        <v>155</v>
      </c>
      <c r="J21" s="34" t="str">
        <f>_xlfn.XLOOKUP(A21,Employee_Master!A:A,Employee_Master!C:C)</f>
        <v>HR</v>
      </c>
      <c r="K21" s="48"/>
      <c r="L21" s="48"/>
      <c r="M21" s="48"/>
      <c r="N21" s="48"/>
      <c r="O21" s="48"/>
      <c r="P21" s="48"/>
      <c r="Q21" s="48"/>
      <c r="R21"/>
    </row>
    <row r="22" spans="1:18" x14ac:dyDescent="0.25">
      <c r="A22" s="33" t="s">
        <v>49</v>
      </c>
      <c r="B22" s="9" t="s">
        <v>88</v>
      </c>
      <c r="C22" s="24">
        <v>0.72727272727272729</v>
      </c>
      <c r="D22" s="24">
        <v>1</v>
      </c>
      <c r="E22" s="24">
        <v>0.11627906976744186</v>
      </c>
      <c r="F22" s="24">
        <v>0.27272727272727271</v>
      </c>
      <c r="G22" s="9">
        <f>_xlfn.XLOOKUP(A22,Employee_Master!A:A,Employee_Master!F:F)</f>
        <v>74159</v>
      </c>
      <c r="H22" s="29">
        <v>0</v>
      </c>
      <c r="I22" s="23" t="s">
        <v>155</v>
      </c>
      <c r="J22" s="34" t="str">
        <f>_xlfn.XLOOKUP(A22,Employee_Master!A:A,Employee_Master!C:C)</f>
        <v>HR</v>
      </c>
      <c r="K22" s="48"/>
      <c r="L22" s="48"/>
      <c r="M22" s="48"/>
      <c r="N22" s="48"/>
      <c r="O22" s="48"/>
      <c r="P22" s="48"/>
      <c r="Q22" s="48"/>
      <c r="R22"/>
    </row>
    <row r="23" spans="1:18" hidden="1" x14ac:dyDescent="0.25">
      <c r="A23" s="33" t="s">
        <v>50</v>
      </c>
      <c r="B23" s="9" t="s">
        <v>84</v>
      </c>
      <c r="C23" s="24">
        <v>0.95454545454545459</v>
      </c>
      <c r="D23" s="24">
        <v>1</v>
      </c>
      <c r="E23" s="24">
        <v>0</v>
      </c>
      <c r="F23" s="24">
        <v>4.5454545454545456E-2</v>
      </c>
      <c r="G23" s="9">
        <f>_xlfn.XLOOKUP(A23,Employee_Master!A:A,Employee_Master!F:F)</f>
        <v>68844</v>
      </c>
      <c r="H23" s="29">
        <v>0</v>
      </c>
      <c r="I23" s="23" t="s">
        <v>156</v>
      </c>
      <c r="J23" s="34" t="str">
        <f>_xlfn.XLOOKUP(A23,Employee_Master!A:A,Employee_Master!C:C)</f>
        <v>HR</v>
      </c>
      <c r="K23" s="48"/>
      <c r="L23" s="48"/>
      <c r="M23" s="48"/>
      <c r="N23" s="48"/>
      <c r="O23" s="48"/>
      <c r="P23" s="48"/>
      <c r="Q23" s="48"/>
      <c r="R23"/>
    </row>
    <row r="24" spans="1:18" hidden="1" x14ac:dyDescent="0.25">
      <c r="A24" s="33" t="s">
        <v>52</v>
      </c>
      <c r="B24" s="9" t="s">
        <v>85</v>
      </c>
      <c r="C24" s="24">
        <v>1</v>
      </c>
      <c r="D24" s="24">
        <v>1</v>
      </c>
      <c r="E24" s="24">
        <v>6.0606060606060608E-2</v>
      </c>
      <c r="F24" s="24">
        <v>0</v>
      </c>
      <c r="G24" s="9">
        <f>_xlfn.XLOOKUP(A24,Employee_Master!A:A,Employee_Master!F:F)</f>
        <v>65366</v>
      </c>
      <c r="H24" s="29">
        <v>0</v>
      </c>
      <c r="I24" s="23" t="s">
        <v>156</v>
      </c>
      <c r="J24" s="34" t="str">
        <f>_xlfn.XLOOKUP(A24,Employee_Master!A:A,Employee_Master!C:C)</f>
        <v>Finance</v>
      </c>
      <c r="K24" s="48"/>
      <c r="L24" s="48"/>
      <c r="M24" s="48"/>
      <c r="N24" s="48"/>
      <c r="O24" s="48"/>
      <c r="P24" s="48"/>
      <c r="Q24" s="48"/>
      <c r="R24"/>
    </row>
    <row r="25" spans="1:18" x14ac:dyDescent="0.25">
      <c r="A25" s="33" t="s">
        <v>53</v>
      </c>
      <c r="B25" s="9" t="s">
        <v>87</v>
      </c>
      <c r="C25" s="24">
        <v>0.86363636363636365</v>
      </c>
      <c r="D25" s="24">
        <v>1</v>
      </c>
      <c r="E25" s="24">
        <v>3.5714285714285712E-2</v>
      </c>
      <c r="F25" s="24">
        <v>0.13636363636363635</v>
      </c>
      <c r="G25" s="9">
        <f>_xlfn.XLOOKUP(A25,Employee_Master!A:A,Employee_Master!F:F)</f>
        <v>71628</v>
      </c>
      <c r="H25" s="29">
        <v>0</v>
      </c>
      <c r="I25" s="23" t="s">
        <v>155</v>
      </c>
      <c r="J25" s="34" t="str">
        <f>_xlfn.XLOOKUP(A25,Employee_Master!A:A,Employee_Master!C:C)</f>
        <v>Finance</v>
      </c>
      <c r="K25" s="48"/>
      <c r="L25" s="48"/>
      <c r="M25" s="48"/>
      <c r="N25" s="48"/>
      <c r="O25" s="48"/>
      <c r="P25" s="48"/>
      <c r="Q25" s="48"/>
      <c r="R25"/>
    </row>
    <row r="26" spans="1:18" hidden="1" x14ac:dyDescent="0.25">
      <c r="A26" s="33" t="s">
        <v>54</v>
      </c>
      <c r="B26" s="9" t="s">
        <v>86</v>
      </c>
      <c r="C26" s="24">
        <v>0.95454545454545459</v>
      </c>
      <c r="D26" s="24">
        <v>1</v>
      </c>
      <c r="E26" s="24">
        <v>0</v>
      </c>
      <c r="F26" s="24">
        <v>4.5454545454545456E-2</v>
      </c>
      <c r="G26" s="9">
        <f>_xlfn.XLOOKUP(A26,Employee_Master!A:A,Employee_Master!F:F)</f>
        <v>61425</v>
      </c>
      <c r="H26" s="29">
        <v>0</v>
      </c>
      <c r="I26" s="23" t="s">
        <v>156</v>
      </c>
      <c r="J26" s="34" t="str">
        <f>_xlfn.XLOOKUP(A26,Employee_Master!A:A,Employee_Master!C:C)</f>
        <v>Finance</v>
      </c>
      <c r="K26" s="48"/>
      <c r="L26" s="48"/>
      <c r="M26" s="48"/>
      <c r="N26" s="48"/>
      <c r="O26" s="48"/>
      <c r="P26" s="48"/>
      <c r="Q26" s="48"/>
      <c r="R26"/>
    </row>
    <row r="27" spans="1:18" x14ac:dyDescent="0.25">
      <c r="A27" s="33" t="s">
        <v>54</v>
      </c>
      <c r="B27" s="9" t="s">
        <v>87</v>
      </c>
      <c r="C27" s="24">
        <v>0.77272727272727271</v>
      </c>
      <c r="D27" s="24">
        <v>1</v>
      </c>
      <c r="E27" s="24">
        <v>5.1724137931034482E-2</v>
      </c>
      <c r="F27" s="24">
        <v>0.22727272727272727</v>
      </c>
      <c r="G27" s="9">
        <f>_xlfn.XLOOKUP(A27,Employee_Master!A:A,Employee_Master!F:F)</f>
        <v>61425</v>
      </c>
      <c r="H27" s="29">
        <v>0</v>
      </c>
      <c r="I27" s="23" t="s">
        <v>155</v>
      </c>
      <c r="J27" s="34" t="str">
        <f>_xlfn.XLOOKUP(A27,Employee_Master!A:A,Employee_Master!C:C)</f>
        <v>Finance</v>
      </c>
      <c r="K27" s="48"/>
      <c r="L27" s="48"/>
      <c r="M27" s="48"/>
      <c r="N27" s="48"/>
      <c r="O27" s="48"/>
      <c r="P27" s="48"/>
      <c r="Q27" s="48"/>
      <c r="R27"/>
    </row>
    <row r="28" spans="1:18" x14ac:dyDescent="0.25">
      <c r="A28" s="33" t="s">
        <v>55</v>
      </c>
      <c r="B28" s="9" t="s">
        <v>85</v>
      </c>
      <c r="C28" s="24">
        <v>0.81818181818181823</v>
      </c>
      <c r="D28" s="24">
        <v>1</v>
      </c>
      <c r="E28" s="24">
        <v>6.1728395061728392E-2</v>
      </c>
      <c r="F28" s="24">
        <v>0.18181818181818182</v>
      </c>
      <c r="G28" s="9">
        <f>_xlfn.XLOOKUP(A28,Employee_Master!A:A,Employee_Master!F:F)</f>
        <v>79553</v>
      </c>
      <c r="H28" s="29">
        <v>0</v>
      </c>
      <c r="I28" s="23" t="s">
        <v>155</v>
      </c>
      <c r="J28" s="34" t="str">
        <f>_xlfn.XLOOKUP(A28,Employee_Master!A:A,Employee_Master!C:C)</f>
        <v>IT</v>
      </c>
      <c r="K28" s="48"/>
      <c r="L28" s="48"/>
      <c r="M28" s="48"/>
      <c r="N28" s="48"/>
      <c r="O28" s="48"/>
      <c r="P28" s="48"/>
      <c r="Q28" s="48"/>
      <c r="R28"/>
    </row>
    <row r="29" spans="1:18" x14ac:dyDescent="0.25">
      <c r="A29" s="33" t="s">
        <v>56</v>
      </c>
      <c r="B29" s="9" t="s">
        <v>84</v>
      </c>
      <c r="C29" s="24">
        <v>0.90909090909090906</v>
      </c>
      <c r="D29" s="24">
        <v>1</v>
      </c>
      <c r="E29" s="24">
        <v>9.0909090909090912E-2</v>
      </c>
      <c r="F29" s="24">
        <v>9.0909090909090912E-2</v>
      </c>
      <c r="G29" s="9">
        <f>_xlfn.XLOOKUP(A29,Employee_Master!A:A,Employee_Master!F:F)</f>
        <v>89427</v>
      </c>
      <c r="H29" s="29">
        <v>0</v>
      </c>
      <c r="I29" s="23" t="s">
        <v>157</v>
      </c>
      <c r="J29" s="34" t="str">
        <f>_xlfn.XLOOKUP(A29,Employee_Master!A:A,Employee_Master!C:C)</f>
        <v>Sales</v>
      </c>
      <c r="K29" s="48"/>
      <c r="L29" s="48"/>
      <c r="M29" s="48"/>
      <c r="N29" s="48"/>
      <c r="O29" s="48"/>
      <c r="P29" s="48"/>
      <c r="Q29" s="48"/>
      <c r="R29"/>
    </row>
    <row r="30" spans="1:18" x14ac:dyDescent="0.25">
      <c r="A30" s="33" t="s">
        <v>56</v>
      </c>
      <c r="B30" s="9" t="s">
        <v>86</v>
      </c>
      <c r="C30" s="24">
        <v>0.77272727272727271</v>
      </c>
      <c r="D30" s="24">
        <v>1</v>
      </c>
      <c r="E30" s="24">
        <v>0</v>
      </c>
      <c r="F30" s="24">
        <v>0.22727272727272727</v>
      </c>
      <c r="G30" s="9">
        <f>_xlfn.XLOOKUP(A30,Employee_Master!A:A,Employee_Master!F:F)</f>
        <v>89427</v>
      </c>
      <c r="H30" s="29">
        <v>0</v>
      </c>
      <c r="I30" s="23" t="s">
        <v>155</v>
      </c>
      <c r="J30" s="34" t="str">
        <f>_xlfn.XLOOKUP(A30,Employee_Master!A:A,Employee_Master!C:C)</f>
        <v>Sales</v>
      </c>
      <c r="K30" s="48"/>
      <c r="L30" s="48"/>
      <c r="M30" s="48"/>
      <c r="N30" s="48"/>
      <c r="O30" s="48"/>
      <c r="P30" s="48"/>
      <c r="Q30" s="48"/>
      <c r="R30"/>
    </row>
    <row r="31" spans="1:18" hidden="1" x14ac:dyDescent="0.25">
      <c r="A31" s="33" t="s">
        <v>58</v>
      </c>
      <c r="B31" s="9" t="s">
        <v>86</v>
      </c>
      <c r="C31" s="24">
        <v>0.95454545454545459</v>
      </c>
      <c r="D31" s="24">
        <v>1</v>
      </c>
      <c r="E31" s="24">
        <v>1.8867924528301886E-2</v>
      </c>
      <c r="F31" s="24">
        <v>4.5454545454545456E-2</v>
      </c>
      <c r="G31" s="9">
        <f>_xlfn.XLOOKUP(A31,Employee_Master!A:A,Employee_Master!F:F)</f>
        <v>55298</v>
      </c>
      <c r="H31" s="29">
        <v>0</v>
      </c>
      <c r="I31" s="23" t="s">
        <v>156</v>
      </c>
      <c r="J31" s="34" t="str">
        <f>_xlfn.XLOOKUP(A31,Employee_Master!A:A,Employee_Master!C:C)</f>
        <v>Finance</v>
      </c>
      <c r="K31" s="48"/>
      <c r="L31" s="48"/>
      <c r="M31" s="48"/>
      <c r="N31" s="48"/>
      <c r="O31" s="48"/>
      <c r="P31" s="48"/>
      <c r="Q31" s="48"/>
      <c r="R31"/>
    </row>
    <row r="32" spans="1:18" x14ac:dyDescent="0.25">
      <c r="A32" s="33" t="s">
        <v>60</v>
      </c>
      <c r="B32" s="9" t="s">
        <v>83</v>
      </c>
      <c r="C32" s="24">
        <v>0.72727272727272729</v>
      </c>
      <c r="D32" s="24">
        <v>1</v>
      </c>
      <c r="E32" s="24">
        <v>5.8823529411764698E-2</v>
      </c>
      <c r="F32" s="24">
        <v>0.27272727272727271</v>
      </c>
      <c r="G32" s="9">
        <f>_xlfn.XLOOKUP(A32,Employee_Master!A:A,Employee_Master!F:F)</f>
        <v>80497</v>
      </c>
      <c r="H32" s="29">
        <v>0</v>
      </c>
      <c r="I32" s="23" t="s">
        <v>155</v>
      </c>
      <c r="J32" s="34" t="str">
        <f>_xlfn.XLOOKUP(A32,Employee_Master!A:A,Employee_Master!C:C)</f>
        <v>Finance</v>
      </c>
      <c r="K32" s="48"/>
      <c r="L32" s="48"/>
      <c r="M32" s="48"/>
      <c r="N32" s="48"/>
      <c r="O32" s="48"/>
      <c r="P32" s="48"/>
      <c r="Q32" s="48"/>
      <c r="R32"/>
    </row>
    <row r="33" spans="1:18" x14ac:dyDescent="0.25">
      <c r="A33" s="33" t="s">
        <v>61</v>
      </c>
      <c r="B33" s="9" t="s">
        <v>86</v>
      </c>
      <c r="C33" s="24">
        <v>0.77272727272727271</v>
      </c>
      <c r="D33" s="24">
        <v>1</v>
      </c>
      <c r="E33" s="24">
        <v>5.2631578947368418E-2</v>
      </c>
      <c r="F33" s="24">
        <v>0.22727272727272727</v>
      </c>
      <c r="G33" s="9">
        <f>_xlfn.XLOOKUP(A33,Employee_Master!A:A,Employee_Master!F:F)</f>
        <v>54123</v>
      </c>
      <c r="H33" s="29">
        <v>0</v>
      </c>
      <c r="I33" s="23" t="s">
        <v>155</v>
      </c>
      <c r="J33" s="34" t="str">
        <f>_xlfn.XLOOKUP(A33,Employee_Master!A:A,Employee_Master!C:C)</f>
        <v>HR</v>
      </c>
      <c r="K33" s="48"/>
      <c r="L33" s="48"/>
      <c r="M33" s="48"/>
      <c r="N33" s="48"/>
      <c r="O33" s="48"/>
      <c r="P33" s="48"/>
      <c r="Q33" s="48"/>
      <c r="R33"/>
    </row>
    <row r="34" spans="1:18" x14ac:dyDescent="0.25">
      <c r="A34" s="33" t="s">
        <v>62</v>
      </c>
      <c r="B34" s="9" t="s">
        <v>84</v>
      </c>
      <c r="C34" s="24">
        <v>0.77272727272727271</v>
      </c>
      <c r="D34" s="24">
        <v>1</v>
      </c>
      <c r="E34" s="24">
        <v>0.10526315789473684</v>
      </c>
      <c r="F34" s="24">
        <v>0.22727272727272727</v>
      </c>
      <c r="G34" s="9">
        <f>_xlfn.XLOOKUP(A34,Employee_Master!A:A,Employee_Master!F:F)</f>
        <v>83035</v>
      </c>
      <c r="H34" s="29">
        <v>0</v>
      </c>
      <c r="I34" s="23" t="s">
        <v>155</v>
      </c>
      <c r="J34" s="34" t="str">
        <f>_xlfn.XLOOKUP(A34,Employee_Master!A:A,Employee_Master!C:C)</f>
        <v>HR</v>
      </c>
      <c r="K34" s="48"/>
      <c r="L34" s="48"/>
      <c r="M34" s="48"/>
      <c r="N34" s="48"/>
      <c r="O34" s="48"/>
      <c r="P34" s="48"/>
      <c r="Q34" s="48"/>
      <c r="R34"/>
    </row>
    <row r="35" spans="1:18" x14ac:dyDescent="0.25">
      <c r="A35" s="33" t="s">
        <v>64</v>
      </c>
      <c r="B35" s="9" t="s">
        <v>86</v>
      </c>
      <c r="C35" s="24">
        <v>0.77272727272727271</v>
      </c>
      <c r="D35" s="24">
        <v>1</v>
      </c>
      <c r="E35" s="24">
        <v>0</v>
      </c>
      <c r="F35" s="24">
        <v>0.22727272727272727</v>
      </c>
      <c r="G35" s="9">
        <f>_xlfn.XLOOKUP(A35,Employee_Master!A:A,Employee_Master!F:F)</f>
        <v>37560</v>
      </c>
      <c r="H35" s="29">
        <v>0</v>
      </c>
      <c r="I35" s="23" t="s">
        <v>155</v>
      </c>
      <c r="J35" s="34" t="str">
        <f>_xlfn.XLOOKUP(A35,Employee_Master!A:A,Employee_Master!C:C)</f>
        <v>IT</v>
      </c>
      <c r="K35" s="48"/>
      <c r="L35" s="48"/>
      <c r="M35" s="48"/>
      <c r="N35" s="48"/>
      <c r="O35" s="48"/>
      <c r="P35" s="48"/>
      <c r="Q35" s="48"/>
      <c r="R35"/>
    </row>
    <row r="36" spans="1:18" x14ac:dyDescent="0.25">
      <c r="A36" s="33" t="s">
        <v>65</v>
      </c>
      <c r="B36" s="9" t="s">
        <v>85</v>
      </c>
      <c r="C36" s="24">
        <v>0.86363636363636365</v>
      </c>
      <c r="D36" s="24">
        <v>1</v>
      </c>
      <c r="E36" s="24">
        <v>5.3571428571428568E-2</v>
      </c>
      <c r="F36" s="24">
        <v>0.13636363636363635</v>
      </c>
      <c r="G36" s="9">
        <f>_xlfn.XLOOKUP(A36,Employee_Master!A:A,Employee_Master!F:F)</f>
        <v>36399</v>
      </c>
      <c r="H36" s="29">
        <v>0</v>
      </c>
      <c r="I36" s="23" t="s">
        <v>155</v>
      </c>
      <c r="J36" s="34" t="str">
        <f>_xlfn.XLOOKUP(A36,Employee_Master!A:A,Employee_Master!C:C)</f>
        <v>Finance</v>
      </c>
      <c r="K36" s="48"/>
      <c r="L36" s="48"/>
      <c r="M36" s="48"/>
      <c r="N36" s="48"/>
      <c r="O36" s="48"/>
      <c r="P36" s="48"/>
      <c r="Q36" s="48"/>
      <c r="R36"/>
    </row>
    <row r="37" spans="1:18" x14ac:dyDescent="0.25">
      <c r="A37" s="33" t="s">
        <v>69</v>
      </c>
      <c r="B37" s="9" t="s">
        <v>86</v>
      </c>
      <c r="C37" s="24">
        <v>0.72727272727272729</v>
      </c>
      <c r="D37" s="24">
        <v>1</v>
      </c>
      <c r="E37" s="24">
        <v>1.1904761904761904E-2</v>
      </c>
      <c r="F37" s="24">
        <v>0.27272727272727271</v>
      </c>
      <c r="G37" s="9">
        <f>_xlfn.XLOOKUP(A37,Employee_Master!A:A,Employee_Master!F:F)</f>
        <v>40435</v>
      </c>
      <c r="H37" s="29">
        <v>0</v>
      </c>
      <c r="I37" s="23" t="s">
        <v>155</v>
      </c>
      <c r="J37" s="34" t="str">
        <f>_xlfn.XLOOKUP(A37,Employee_Master!A:A,Employee_Master!C:C)</f>
        <v>Sales</v>
      </c>
      <c r="K37" s="48"/>
      <c r="L37" s="48"/>
      <c r="M37" s="48"/>
      <c r="N37" s="48"/>
      <c r="O37" s="48"/>
      <c r="P37" s="48"/>
      <c r="Q37" s="48"/>
      <c r="R37"/>
    </row>
    <row r="38" spans="1:18" x14ac:dyDescent="0.25">
      <c r="A38" s="33" t="s">
        <v>70</v>
      </c>
      <c r="B38" s="9" t="s">
        <v>87</v>
      </c>
      <c r="C38" s="24">
        <v>0.81818181818181823</v>
      </c>
      <c r="D38" s="24">
        <v>1</v>
      </c>
      <c r="E38" s="24">
        <v>6.9444444444444448E-2</v>
      </c>
      <c r="F38" s="24">
        <v>0.18181818181818182</v>
      </c>
      <c r="G38" s="9">
        <f>_xlfn.XLOOKUP(A38,Employee_Master!A:A,Employee_Master!F:F)</f>
        <v>58061</v>
      </c>
      <c r="H38" s="29">
        <v>0</v>
      </c>
      <c r="I38" s="23" t="s">
        <v>155</v>
      </c>
      <c r="J38" s="34" t="str">
        <f>_xlfn.XLOOKUP(A38,Employee_Master!A:A,Employee_Master!C:C)</f>
        <v>IT</v>
      </c>
      <c r="K38" s="48"/>
      <c r="L38" s="48"/>
      <c r="M38" s="48"/>
      <c r="N38" s="48"/>
      <c r="O38" s="48"/>
      <c r="P38" s="48"/>
      <c r="Q38" s="48"/>
      <c r="R38"/>
    </row>
    <row r="39" spans="1:18" hidden="1" x14ac:dyDescent="0.25">
      <c r="A39" s="33" t="s">
        <v>71</v>
      </c>
      <c r="B39" s="9" t="s">
        <v>84</v>
      </c>
      <c r="C39" s="24">
        <v>1</v>
      </c>
      <c r="D39" s="24">
        <v>1</v>
      </c>
      <c r="E39" s="24">
        <v>0</v>
      </c>
      <c r="F39" s="24">
        <v>0</v>
      </c>
      <c r="G39" s="9">
        <f>_xlfn.XLOOKUP(A39,Employee_Master!A:A,Employee_Master!F:F)</f>
        <v>46149</v>
      </c>
      <c r="H39" s="29">
        <v>0</v>
      </c>
      <c r="I39" s="23" t="s">
        <v>156</v>
      </c>
      <c r="J39" s="34" t="str">
        <f>_xlfn.XLOOKUP(A39,Employee_Master!A:A,Employee_Master!C:C)</f>
        <v>IT</v>
      </c>
      <c r="K39" s="48"/>
      <c r="L39" s="48"/>
      <c r="M39" s="48"/>
      <c r="N39" s="48"/>
      <c r="O39" s="48"/>
      <c r="P39" s="48"/>
      <c r="Q39" s="48"/>
      <c r="R39"/>
    </row>
    <row r="40" spans="1:18" hidden="1" x14ac:dyDescent="0.25">
      <c r="A40" s="33" t="s">
        <v>73</v>
      </c>
      <c r="B40" s="9" t="s">
        <v>83</v>
      </c>
      <c r="C40" s="24">
        <v>0.95454545454545459</v>
      </c>
      <c r="D40" s="24">
        <v>1</v>
      </c>
      <c r="E40" s="24">
        <v>0</v>
      </c>
      <c r="F40" s="24">
        <v>4.5454545454545456E-2</v>
      </c>
      <c r="G40" s="9">
        <f>_xlfn.XLOOKUP(A40,Employee_Master!A:A,Employee_Master!F:F)</f>
        <v>37548</v>
      </c>
      <c r="H40" s="29">
        <v>0</v>
      </c>
      <c r="I40" s="23" t="s">
        <v>156</v>
      </c>
      <c r="J40" s="34" t="str">
        <f>_xlfn.XLOOKUP(A40,Employee_Master!A:A,Employee_Master!C:C)</f>
        <v>Sales</v>
      </c>
      <c r="K40" s="48"/>
      <c r="L40" s="48"/>
      <c r="M40" s="48"/>
      <c r="N40" s="48"/>
      <c r="O40" s="48"/>
      <c r="P40" s="48"/>
      <c r="Q40" s="48"/>
      <c r="R40"/>
    </row>
    <row r="41" spans="1:18" hidden="1" x14ac:dyDescent="0.25">
      <c r="A41" s="33" t="s">
        <v>73</v>
      </c>
      <c r="B41" s="9" t="s">
        <v>84</v>
      </c>
      <c r="C41" s="24">
        <v>1</v>
      </c>
      <c r="D41" s="24">
        <v>1</v>
      </c>
      <c r="E41" s="24">
        <v>0</v>
      </c>
      <c r="F41" s="24">
        <v>0</v>
      </c>
      <c r="G41" s="9">
        <f>_xlfn.XLOOKUP(A41,Employee_Master!A:A,Employee_Master!F:F)</f>
        <v>37548</v>
      </c>
      <c r="H41" s="29">
        <v>0</v>
      </c>
      <c r="I41" s="23" t="s">
        <v>156</v>
      </c>
      <c r="J41" s="34" t="str">
        <f>_xlfn.XLOOKUP(A41,Employee_Master!A:A,Employee_Master!C:C)</f>
        <v>Sales</v>
      </c>
      <c r="K41" s="48"/>
      <c r="L41" s="48"/>
      <c r="M41" s="48"/>
      <c r="N41" s="48"/>
      <c r="O41" s="48"/>
      <c r="P41" s="48"/>
      <c r="Q41" s="48"/>
      <c r="R41"/>
    </row>
    <row r="42" spans="1:18" x14ac:dyDescent="0.25">
      <c r="A42" s="33" t="s">
        <v>74</v>
      </c>
      <c r="B42" s="9" t="s">
        <v>83</v>
      </c>
      <c r="C42" s="24">
        <v>0.95454545454545459</v>
      </c>
      <c r="D42" s="24">
        <v>1</v>
      </c>
      <c r="E42" s="24">
        <v>0.10526315789473684</v>
      </c>
      <c r="F42" s="24">
        <v>4.5454545454545456E-2</v>
      </c>
      <c r="G42" s="9">
        <f>_xlfn.XLOOKUP(A42,Employee_Master!A:A,Employee_Master!F:F)</f>
        <v>44020</v>
      </c>
      <c r="H42" s="29">
        <v>0</v>
      </c>
      <c r="I42" s="23" t="s">
        <v>157</v>
      </c>
      <c r="J42" s="34" t="str">
        <f>_xlfn.XLOOKUP(A42,Employee_Master!A:A,Employee_Master!C:C)</f>
        <v>IT</v>
      </c>
      <c r="K42" s="48"/>
      <c r="L42" s="48"/>
      <c r="M42" s="48"/>
      <c r="N42" s="48"/>
      <c r="O42" s="48"/>
      <c r="P42" s="48"/>
      <c r="Q42" s="48"/>
      <c r="R42"/>
    </row>
    <row r="43" spans="1:18" hidden="1" x14ac:dyDescent="0.25">
      <c r="A43" s="33" t="s">
        <v>74</v>
      </c>
      <c r="B43" s="9" t="s">
        <v>87</v>
      </c>
      <c r="C43" s="24">
        <v>1</v>
      </c>
      <c r="D43" s="24">
        <v>1</v>
      </c>
      <c r="E43" s="24">
        <v>5.7142857142857141E-2</v>
      </c>
      <c r="F43" s="24">
        <v>0</v>
      </c>
      <c r="G43" s="9">
        <f>_xlfn.XLOOKUP(A43,Employee_Master!A:A,Employee_Master!F:F)</f>
        <v>44020</v>
      </c>
      <c r="H43" s="29">
        <v>0</v>
      </c>
      <c r="I43" s="23" t="s">
        <v>156</v>
      </c>
      <c r="J43" s="34" t="str">
        <f>_xlfn.XLOOKUP(A43,Employee_Master!A:A,Employee_Master!C:C)</f>
        <v>IT</v>
      </c>
      <c r="K43" s="48"/>
      <c r="L43" s="48"/>
      <c r="M43" s="48"/>
      <c r="N43" s="48"/>
      <c r="O43" s="48"/>
      <c r="P43" s="48"/>
      <c r="Q43" s="48"/>
      <c r="R43"/>
    </row>
    <row r="44" spans="1:18" x14ac:dyDescent="0.25">
      <c r="A44" s="33" t="s">
        <v>75</v>
      </c>
      <c r="B44" s="9" t="s">
        <v>83</v>
      </c>
      <c r="C44" s="24">
        <v>0.77272727272727271</v>
      </c>
      <c r="D44" s="24">
        <v>1</v>
      </c>
      <c r="E44" s="24">
        <v>8.8235294117647065E-2</v>
      </c>
      <c r="F44" s="24">
        <v>0.22727272727272727</v>
      </c>
      <c r="G44" s="9">
        <f>_xlfn.XLOOKUP(A44,Employee_Master!A:A,Employee_Master!F:F)</f>
        <v>82692</v>
      </c>
      <c r="H44" s="29">
        <v>0</v>
      </c>
      <c r="I44" s="23" t="s">
        <v>155</v>
      </c>
      <c r="J44" s="34" t="str">
        <f>_xlfn.XLOOKUP(A44,Employee_Master!A:A,Employee_Master!C:C)</f>
        <v>IT</v>
      </c>
      <c r="K44" s="48"/>
      <c r="L44" s="48"/>
      <c r="M44" s="48"/>
      <c r="N44" s="48"/>
      <c r="O44" s="48"/>
      <c r="P44" s="48"/>
      <c r="Q44" s="48"/>
      <c r="R44"/>
    </row>
    <row r="45" spans="1:18" x14ac:dyDescent="0.25">
      <c r="A45" s="33" t="s">
        <v>76</v>
      </c>
      <c r="B45" s="9" t="s">
        <v>85</v>
      </c>
      <c r="C45" s="24">
        <v>0.81818181818181823</v>
      </c>
      <c r="D45" s="24">
        <v>1</v>
      </c>
      <c r="E45" s="24">
        <v>7.5471698113207544E-2</v>
      </c>
      <c r="F45" s="24">
        <v>0.18181818181818182</v>
      </c>
      <c r="G45" s="9">
        <f>_xlfn.XLOOKUP(A45,Employee_Master!A:A,Employee_Master!F:F)</f>
        <v>39915</v>
      </c>
      <c r="H45" s="29">
        <v>0</v>
      </c>
      <c r="I45" s="23" t="s">
        <v>155</v>
      </c>
      <c r="J45" s="34" t="str">
        <f>_xlfn.XLOOKUP(A45,Employee_Master!A:A,Employee_Master!C:C)</f>
        <v>HR</v>
      </c>
      <c r="K45" s="48"/>
      <c r="L45" s="48"/>
      <c r="M45" s="48"/>
      <c r="N45" s="48"/>
      <c r="O45" s="48"/>
      <c r="P45" s="48"/>
      <c r="Q45" s="48"/>
      <c r="R45"/>
    </row>
    <row r="46" spans="1:18" hidden="1" x14ac:dyDescent="0.25">
      <c r="A46" s="33" t="s">
        <v>76</v>
      </c>
      <c r="B46" s="9" t="s">
        <v>87</v>
      </c>
      <c r="C46" s="24">
        <v>1</v>
      </c>
      <c r="D46" s="24">
        <v>1</v>
      </c>
      <c r="E46" s="24">
        <v>9.6774193548387094E-2</v>
      </c>
      <c r="F46" s="24">
        <v>0</v>
      </c>
      <c r="G46" s="9">
        <f>_xlfn.XLOOKUP(A46,Employee_Master!A:A,Employee_Master!F:F)</f>
        <v>39915</v>
      </c>
      <c r="H46" s="29">
        <v>0</v>
      </c>
      <c r="I46" s="23" t="s">
        <v>156</v>
      </c>
      <c r="J46" s="34" t="str">
        <f>_xlfn.XLOOKUP(A46,Employee_Master!A:A,Employee_Master!C:C)</f>
        <v>HR</v>
      </c>
      <c r="K46" s="48"/>
      <c r="L46" s="48"/>
      <c r="M46" s="48"/>
      <c r="N46" s="48"/>
      <c r="O46" s="48"/>
      <c r="P46" s="48"/>
      <c r="Q46" s="48"/>
      <c r="R46"/>
    </row>
    <row r="47" spans="1:18" x14ac:dyDescent="0.25">
      <c r="A47" s="33" t="s">
        <v>77</v>
      </c>
      <c r="B47" s="9" t="s">
        <v>85</v>
      </c>
      <c r="C47" s="24">
        <v>0.81818181818181823</v>
      </c>
      <c r="D47" s="24">
        <v>1</v>
      </c>
      <c r="E47" s="24">
        <v>1.5625E-2</v>
      </c>
      <c r="F47" s="24">
        <v>0.18181818181818182</v>
      </c>
      <c r="G47" s="9">
        <f>_xlfn.XLOOKUP(A47,Employee_Master!A:A,Employee_Master!F:F)</f>
        <v>59133</v>
      </c>
      <c r="H47" s="29">
        <v>0</v>
      </c>
      <c r="I47" s="23" t="s">
        <v>155</v>
      </c>
      <c r="J47" s="34" t="str">
        <f>_xlfn.XLOOKUP(A47,Employee_Master!A:A,Employee_Master!C:C)</f>
        <v>HR</v>
      </c>
      <c r="K47" s="48"/>
      <c r="L47" s="48"/>
      <c r="M47" s="48"/>
      <c r="N47" s="48"/>
      <c r="O47" s="48"/>
      <c r="P47" s="48"/>
      <c r="Q47" s="48"/>
      <c r="R47"/>
    </row>
    <row r="48" spans="1:18" hidden="1" x14ac:dyDescent="0.25">
      <c r="A48" s="33" t="s">
        <v>78</v>
      </c>
      <c r="B48" s="9" t="s">
        <v>84</v>
      </c>
      <c r="C48" s="24">
        <v>0.95454545454545459</v>
      </c>
      <c r="D48" s="24">
        <v>1</v>
      </c>
      <c r="E48" s="24">
        <v>7.2727272727272724E-2</v>
      </c>
      <c r="F48" s="24">
        <v>4.5454545454545456E-2</v>
      </c>
      <c r="G48" s="9">
        <f>_xlfn.XLOOKUP(A48,Employee_Master!A:A,Employee_Master!F:F)</f>
        <v>36280</v>
      </c>
      <c r="H48" s="29">
        <v>0</v>
      </c>
      <c r="I48" s="23" t="s">
        <v>156</v>
      </c>
      <c r="J48" s="34" t="str">
        <f>_xlfn.XLOOKUP(A48,Employee_Master!A:A,Employee_Master!C:C)</f>
        <v>HR</v>
      </c>
      <c r="K48" s="48"/>
      <c r="L48" s="48"/>
      <c r="M48" s="48"/>
      <c r="N48" s="48"/>
      <c r="O48" s="48"/>
      <c r="P48" s="48"/>
      <c r="Q48" s="48"/>
      <c r="R48"/>
    </row>
    <row r="49" spans="1:19" x14ac:dyDescent="0.25">
      <c r="A49" s="33" t="s">
        <v>49</v>
      </c>
      <c r="B49" s="9" t="s">
        <v>83</v>
      </c>
      <c r="C49" s="24">
        <v>0.77272727272727271</v>
      </c>
      <c r="D49" s="24">
        <v>0.98809523809523814</v>
      </c>
      <c r="E49" s="24">
        <v>3.614457831325301E-2</v>
      </c>
      <c r="F49" s="24">
        <v>0.22727272727272727</v>
      </c>
      <c r="G49" s="9">
        <f>_xlfn.XLOOKUP(A49,Employee_Master!A:A,Employee_Master!F:F)</f>
        <v>74159</v>
      </c>
      <c r="H49" s="29">
        <v>0</v>
      </c>
      <c r="I49" s="23" t="s">
        <v>155</v>
      </c>
      <c r="J49" s="34" t="str">
        <f>_xlfn.XLOOKUP(A49,Employee_Master!A:A,Employee_Master!C:C)</f>
        <v>HR</v>
      </c>
      <c r="K49" s="48"/>
      <c r="L49" s="48"/>
      <c r="M49" s="48"/>
      <c r="N49" s="48"/>
      <c r="O49" s="48"/>
      <c r="P49" s="48"/>
      <c r="Q49" s="48"/>
      <c r="R49"/>
    </row>
    <row r="50" spans="1:19" hidden="1" x14ac:dyDescent="0.25">
      <c r="A50" s="33" t="s">
        <v>66</v>
      </c>
      <c r="B50" s="9" t="s">
        <v>88</v>
      </c>
      <c r="C50" s="24">
        <v>0.95454545454545459</v>
      </c>
      <c r="D50" s="24">
        <v>0.98809523809523814</v>
      </c>
      <c r="E50" s="24">
        <v>1.2048192771084338E-2</v>
      </c>
      <c r="F50" s="24">
        <v>4.5454545454545456E-2</v>
      </c>
      <c r="G50" s="9">
        <f>_xlfn.XLOOKUP(A50,Employee_Master!A:A,Employee_Master!F:F)</f>
        <v>35728</v>
      </c>
      <c r="H50" s="29">
        <v>0</v>
      </c>
      <c r="I50" s="23" t="s">
        <v>156</v>
      </c>
      <c r="J50" s="34" t="str">
        <f>_xlfn.XLOOKUP(A50,Employee_Master!A:A,Employee_Master!C:C)</f>
        <v>Finance</v>
      </c>
      <c r="K50" s="48"/>
      <c r="L50" s="48"/>
      <c r="M50" s="48"/>
      <c r="N50" s="48"/>
      <c r="O50" s="48"/>
      <c r="P50" s="48"/>
      <c r="Q50" s="48"/>
      <c r="R50"/>
    </row>
    <row r="51" spans="1:19" x14ac:dyDescent="0.25">
      <c r="A51" s="33" t="s">
        <v>38</v>
      </c>
      <c r="B51" s="9" t="s">
        <v>87</v>
      </c>
      <c r="C51" s="24">
        <v>0.86363636363636365</v>
      </c>
      <c r="D51" s="24">
        <v>0.98734177215189878</v>
      </c>
      <c r="E51" s="24">
        <v>3.8461538461538464E-2</v>
      </c>
      <c r="F51" s="24">
        <v>0.13636363636363635</v>
      </c>
      <c r="G51" s="9">
        <f>_xlfn.XLOOKUP(A51,Employee_Master!A:A,Employee_Master!F:F)</f>
        <v>36447</v>
      </c>
      <c r="H51" s="29">
        <v>0</v>
      </c>
      <c r="I51" s="23" t="s">
        <v>155</v>
      </c>
      <c r="J51" s="34" t="str">
        <f>_xlfn.XLOOKUP(A51,Employee_Master!A:A,Employee_Master!C:C)</f>
        <v>IT</v>
      </c>
      <c r="K51" s="48"/>
      <c r="L51" s="48"/>
      <c r="M51" s="48"/>
      <c r="N51" s="48"/>
      <c r="O51" s="48"/>
      <c r="P51" s="48"/>
      <c r="Q51" s="48"/>
      <c r="R51"/>
    </row>
    <row r="52" spans="1:19" hidden="1" x14ac:dyDescent="0.25">
      <c r="A52" s="33" t="s">
        <v>73</v>
      </c>
      <c r="B52" s="9" t="s">
        <v>85</v>
      </c>
      <c r="C52" s="24">
        <v>1</v>
      </c>
      <c r="D52" s="24">
        <v>0.9859154929577465</v>
      </c>
      <c r="E52" s="24">
        <v>5.7142857142857141E-2</v>
      </c>
      <c r="F52" s="24">
        <v>0</v>
      </c>
      <c r="G52" s="9">
        <f>_xlfn.XLOOKUP(A52,Employee_Master!A:A,Employee_Master!F:F)</f>
        <v>37548</v>
      </c>
      <c r="H52" s="29">
        <v>0</v>
      </c>
      <c r="I52" s="23" t="s">
        <v>156</v>
      </c>
      <c r="J52" s="34" t="str">
        <f>_xlfn.XLOOKUP(A52,Employee_Master!A:A,Employee_Master!C:C)</f>
        <v>Sales</v>
      </c>
      <c r="K52" s="48"/>
      <c r="L52" s="48"/>
      <c r="M52" s="48"/>
      <c r="N52" s="48"/>
      <c r="O52" s="48"/>
      <c r="P52" s="48"/>
      <c r="Q52" s="48"/>
      <c r="R52"/>
    </row>
    <row r="53" spans="1:19" x14ac:dyDescent="0.25">
      <c r="A53" s="33" t="s">
        <v>42</v>
      </c>
      <c r="B53" s="9" t="s">
        <v>84</v>
      </c>
      <c r="C53" s="24">
        <v>0.72727272727272729</v>
      </c>
      <c r="D53" s="24">
        <v>0.98571428571428588</v>
      </c>
      <c r="E53" s="24">
        <v>4.3478260869565216E-2</v>
      </c>
      <c r="F53" s="24">
        <v>0.27272727272727271</v>
      </c>
      <c r="G53" s="9">
        <f>_xlfn.XLOOKUP(A53,Employee_Master!A:A,Employee_Master!F:F)</f>
        <v>61034</v>
      </c>
      <c r="H53" s="29">
        <v>0</v>
      </c>
      <c r="I53" s="23" t="s">
        <v>155</v>
      </c>
      <c r="J53" s="34" t="str">
        <f>_xlfn.XLOOKUP(A53,Employee_Master!A:A,Employee_Master!C:C)</f>
        <v>Finance</v>
      </c>
      <c r="K53" s="48"/>
      <c r="L53" s="48"/>
      <c r="M53" s="48"/>
      <c r="N53" s="48"/>
      <c r="O53" s="48"/>
      <c r="P53" s="48"/>
      <c r="Q53" s="48"/>
      <c r="R53"/>
    </row>
    <row r="54" spans="1:19" x14ac:dyDescent="0.25">
      <c r="A54" s="33" t="s">
        <v>64</v>
      </c>
      <c r="B54" s="9" t="s">
        <v>84</v>
      </c>
      <c r="C54" s="24">
        <v>0.81818181818181823</v>
      </c>
      <c r="D54" s="24">
        <v>0.98571428571428588</v>
      </c>
      <c r="E54" s="24">
        <v>1.4492753623188406E-2</v>
      </c>
      <c r="F54" s="24">
        <v>0.18181818181818182</v>
      </c>
      <c r="G54" s="9">
        <f>_xlfn.XLOOKUP(A54,Employee_Master!A:A,Employee_Master!F:F)</f>
        <v>37560</v>
      </c>
      <c r="H54" s="29">
        <v>0</v>
      </c>
      <c r="I54" s="23" t="s">
        <v>155</v>
      </c>
      <c r="J54" s="34" t="str">
        <f>_xlfn.XLOOKUP(A54,Employee_Master!A:A,Employee_Master!C:C)</f>
        <v>IT</v>
      </c>
      <c r="K54" s="48"/>
      <c r="L54" s="48"/>
      <c r="M54" s="48"/>
      <c r="N54" s="48"/>
      <c r="O54" s="48"/>
      <c r="P54" s="48"/>
      <c r="Q54" s="48"/>
      <c r="R54"/>
    </row>
    <row r="55" spans="1:19" x14ac:dyDescent="0.25">
      <c r="A55" s="33" t="s">
        <v>53</v>
      </c>
      <c r="B55" s="9" t="s">
        <v>86</v>
      </c>
      <c r="C55" s="24">
        <v>0.86363636363636365</v>
      </c>
      <c r="D55" s="24">
        <v>0.98550724637681175</v>
      </c>
      <c r="E55" s="24">
        <v>0</v>
      </c>
      <c r="F55" s="24">
        <v>0.13636363636363635</v>
      </c>
      <c r="G55" s="9">
        <f>_xlfn.XLOOKUP(A55,Employee_Master!A:A,Employee_Master!F:F)</f>
        <v>71628</v>
      </c>
      <c r="H55" s="29">
        <v>0</v>
      </c>
      <c r="I55" s="23" t="s">
        <v>155</v>
      </c>
      <c r="J55" s="34" t="str">
        <f>_xlfn.XLOOKUP(A55,Employee_Master!A:A,Employee_Master!C:C)</f>
        <v>Finance</v>
      </c>
      <c r="K55" s="48"/>
      <c r="L55" s="48"/>
      <c r="M55" s="48"/>
      <c r="N55" s="48"/>
      <c r="O55" s="48"/>
      <c r="P55" s="48"/>
      <c r="Q55" s="48"/>
      <c r="R55"/>
    </row>
    <row r="56" spans="1:19" x14ac:dyDescent="0.25">
      <c r="A56" s="33" t="s">
        <v>33</v>
      </c>
      <c r="B56" s="9" t="s">
        <v>86</v>
      </c>
      <c r="C56" s="24">
        <v>0.90909090909090906</v>
      </c>
      <c r="D56" s="24">
        <v>0.98529411764705888</v>
      </c>
      <c r="E56" s="24">
        <v>2.9850746268656712E-2</v>
      </c>
      <c r="F56" s="24">
        <v>9.0909090909090912E-2</v>
      </c>
      <c r="G56" s="9">
        <f>_xlfn.XLOOKUP(A56,Employee_Master!A:A,Employee_Master!F:F)</f>
        <v>46257</v>
      </c>
      <c r="H56" s="29">
        <v>0</v>
      </c>
      <c r="I56" s="23" t="s">
        <v>157</v>
      </c>
      <c r="J56" s="34" t="str">
        <f>_xlfn.XLOOKUP(A56,Employee_Master!A:A,Employee_Master!C:C)</f>
        <v>HR</v>
      </c>
      <c r="K56" s="48"/>
      <c r="L56" s="48"/>
      <c r="M56" s="48"/>
      <c r="N56" s="48"/>
      <c r="O56" s="48"/>
      <c r="P56" s="48"/>
      <c r="Q56" s="48"/>
      <c r="R56"/>
    </row>
    <row r="57" spans="1:19" x14ac:dyDescent="0.25">
      <c r="A57" s="33" t="s">
        <v>51</v>
      </c>
      <c r="B57" s="9" t="s">
        <v>84</v>
      </c>
      <c r="C57" s="24">
        <v>0.72727272727272729</v>
      </c>
      <c r="D57" s="24">
        <v>0.98529411764705888</v>
      </c>
      <c r="E57" s="24">
        <v>5.9701492537313425E-2</v>
      </c>
      <c r="F57" s="24">
        <v>0.27272727272727271</v>
      </c>
      <c r="G57" s="9">
        <f>_xlfn.XLOOKUP(A57,Employee_Master!A:A,Employee_Master!F:F)</f>
        <v>52195</v>
      </c>
      <c r="H57" s="29">
        <v>0</v>
      </c>
      <c r="I57" s="23" t="s">
        <v>155</v>
      </c>
      <c r="J57" s="34" t="str">
        <f>_xlfn.XLOOKUP(A57,Employee_Master!A:A,Employee_Master!C:C)</f>
        <v>HR</v>
      </c>
      <c r="K57" s="48"/>
      <c r="L57" s="48"/>
      <c r="M57" s="48"/>
      <c r="N57" s="48"/>
      <c r="O57" s="48"/>
      <c r="P57" s="48"/>
      <c r="Q57" s="48"/>
      <c r="R57"/>
    </row>
    <row r="58" spans="1:19" x14ac:dyDescent="0.25">
      <c r="A58" s="33" t="s">
        <v>52</v>
      </c>
      <c r="B58" s="9" t="s">
        <v>87</v>
      </c>
      <c r="C58" s="24">
        <v>0.81818181818181823</v>
      </c>
      <c r="D58" s="24">
        <v>0.98507462686567171</v>
      </c>
      <c r="E58" s="24">
        <v>4.5454545454545456E-2</v>
      </c>
      <c r="F58" s="24">
        <v>0.18181818181818182</v>
      </c>
      <c r="G58" s="9">
        <f>_xlfn.XLOOKUP(A58,Employee_Master!A:A,Employee_Master!F:F)</f>
        <v>65366</v>
      </c>
      <c r="H58" s="29">
        <v>0</v>
      </c>
      <c r="I58" s="23" t="s">
        <v>155</v>
      </c>
      <c r="J58" s="34" t="str">
        <f>_xlfn.XLOOKUP(A58,Employee_Master!A:A,Employee_Master!C:C)</f>
        <v>Finance</v>
      </c>
      <c r="K58" s="48"/>
      <c r="L58" s="48"/>
      <c r="M58" s="48"/>
      <c r="N58" s="48"/>
      <c r="O58" s="48"/>
      <c r="P58" s="48"/>
      <c r="Q58" s="48"/>
      <c r="R58"/>
    </row>
    <row r="59" spans="1:19" hidden="1" x14ac:dyDescent="0.25">
      <c r="A59" s="33" t="s">
        <v>67</v>
      </c>
      <c r="B59" s="9" t="s">
        <v>85</v>
      </c>
      <c r="C59" s="24">
        <v>1</v>
      </c>
      <c r="D59" s="24">
        <v>0.98507462686567171</v>
      </c>
      <c r="E59" s="24">
        <v>4.5454545454545456E-2</v>
      </c>
      <c r="F59" s="24">
        <v>0</v>
      </c>
      <c r="G59" s="9">
        <f>_xlfn.XLOOKUP(A59,Employee_Master!A:A,Employee_Master!F:F)</f>
        <v>57209</v>
      </c>
      <c r="H59" s="29">
        <v>0</v>
      </c>
      <c r="I59" s="23" t="s">
        <v>156</v>
      </c>
      <c r="J59" s="34" t="str">
        <f>_xlfn.XLOOKUP(A59,Employee_Master!A:A,Employee_Master!C:C)</f>
        <v>IT</v>
      </c>
      <c r="K59" s="48"/>
      <c r="L59" s="48"/>
      <c r="M59" s="48"/>
      <c r="N59" s="48"/>
      <c r="O59" s="48"/>
      <c r="P59" s="48"/>
      <c r="Q59" s="48"/>
      <c r="R59"/>
    </row>
    <row r="60" spans="1:19" x14ac:dyDescent="0.25">
      <c r="A60" s="33" t="s">
        <v>48</v>
      </c>
      <c r="B60" s="9" t="s">
        <v>88</v>
      </c>
      <c r="C60" s="24">
        <v>0.81818181818181823</v>
      </c>
      <c r="D60" s="24">
        <v>0.98484848484848486</v>
      </c>
      <c r="E60" s="24">
        <v>6.1538461538461542E-2</v>
      </c>
      <c r="F60" s="24">
        <v>0.18181818181818182</v>
      </c>
      <c r="G60" s="9">
        <f>_xlfn.XLOOKUP(A60,Employee_Master!A:A,Employee_Master!F:F)</f>
        <v>75277</v>
      </c>
      <c r="H60" s="29">
        <v>0</v>
      </c>
      <c r="I60" s="23" t="s">
        <v>155</v>
      </c>
      <c r="J60" s="34" t="str">
        <f>_xlfn.XLOOKUP(A60,Employee_Master!A:A,Employee_Master!C:C)</f>
        <v>HR</v>
      </c>
      <c r="K60" s="48"/>
      <c r="L60" s="48"/>
      <c r="M60" s="48"/>
      <c r="N60" s="48"/>
      <c r="O60" s="48"/>
      <c r="P60" s="48"/>
      <c r="Q60" s="48"/>
      <c r="R60"/>
    </row>
    <row r="61" spans="1:19" x14ac:dyDescent="0.25">
      <c r="A61" s="33" t="s">
        <v>31</v>
      </c>
      <c r="B61" s="9" t="s">
        <v>85</v>
      </c>
      <c r="C61" s="24">
        <v>0.81818181818181823</v>
      </c>
      <c r="D61" s="24">
        <v>0.984375</v>
      </c>
      <c r="E61" s="24">
        <v>4.7619047619047616E-2</v>
      </c>
      <c r="F61" s="24">
        <v>0.18181818181818182</v>
      </c>
      <c r="G61" s="9">
        <f>_xlfn.XLOOKUP(A61,Employee_Master!A:A,Employee_Master!F:F)</f>
        <v>84043</v>
      </c>
      <c r="H61" s="29">
        <v>0</v>
      </c>
      <c r="I61" s="23" t="s">
        <v>155</v>
      </c>
      <c r="J61" s="34" t="str">
        <f>_xlfn.XLOOKUP(A61,Employee_Master!A:A,Employee_Master!C:C)</f>
        <v>HR</v>
      </c>
      <c r="K61" s="48"/>
      <c r="L61" s="48"/>
      <c r="M61" s="48"/>
      <c r="N61" s="48"/>
      <c r="O61" s="48"/>
      <c r="P61" s="48"/>
      <c r="Q61" s="48"/>
      <c r="R61"/>
    </row>
    <row r="62" spans="1:19" hidden="1" x14ac:dyDescent="0.25">
      <c r="A62" s="33" t="s">
        <v>76</v>
      </c>
      <c r="B62" s="9" t="s">
        <v>88</v>
      </c>
      <c r="C62" s="24">
        <v>0.95454545454545459</v>
      </c>
      <c r="D62" s="24">
        <v>0.984375</v>
      </c>
      <c r="E62" s="24">
        <v>6.3492063492063489E-2</v>
      </c>
      <c r="F62" s="24">
        <v>4.5454545454545456E-2</v>
      </c>
      <c r="G62" s="9">
        <f>_xlfn.XLOOKUP(A62,Employee_Master!A:A,Employee_Master!F:F)</f>
        <v>39915</v>
      </c>
      <c r="H62" s="29">
        <v>0</v>
      </c>
      <c r="I62" s="23" t="s">
        <v>156</v>
      </c>
      <c r="J62" s="34" t="str">
        <f>_xlfn.XLOOKUP(A62,Employee_Master!A:A,Employee_Master!C:C)</f>
        <v>HR</v>
      </c>
      <c r="K62" s="48"/>
      <c r="L62" s="48"/>
      <c r="M62" s="48"/>
      <c r="N62" s="48"/>
      <c r="O62" s="48"/>
      <c r="P62" s="48"/>
      <c r="Q62" s="48"/>
      <c r="R62"/>
    </row>
    <row r="63" spans="1:19" hidden="1" x14ac:dyDescent="0.25">
      <c r="A63" s="33" t="s">
        <v>27</v>
      </c>
      <c r="B63" s="9" t="s">
        <v>87</v>
      </c>
      <c r="C63" s="24">
        <v>0.95454545454545459</v>
      </c>
      <c r="D63" s="24">
        <v>0.98412698412698407</v>
      </c>
      <c r="E63" s="24">
        <v>3.2258064516129031E-2</v>
      </c>
      <c r="F63" s="24">
        <v>4.5454545454545456E-2</v>
      </c>
      <c r="G63" s="9">
        <f>_xlfn.XLOOKUP(A63,Employee_Master!A:A,Employee_Master!F:F)</f>
        <v>37736</v>
      </c>
      <c r="H63" s="29">
        <v>0</v>
      </c>
      <c r="I63" s="23" t="s">
        <v>156</v>
      </c>
      <c r="J63" s="34" t="str">
        <f>_xlfn.XLOOKUP(A63,Employee_Master!A:A,Employee_Master!C:C)</f>
        <v>Finance</v>
      </c>
      <c r="K63" s="48"/>
      <c r="L63" s="48"/>
      <c r="M63" s="48"/>
      <c r="N63" s="48"/>
      <c r="O63" s="48"/>
      <c r="P63" s="48"/>
      <c r="Q63" s="48"/>
      <c r="R63"/>
    </row>
    <row r="64" spans="1:19" x14ac:dyDescent="0.25">
      <c r="A64" s="33" t="s">
        <v>8</v>
      </c>
      <c r="B64" s="9" t="s">
        <v>85</v>
      </c>
      <c r="C64" s="24">
        <v>0.77272727272727271</v>
      </c>
      <c r="D64" s="24">
        <v>0.9838709677419355</v>
      </c>
      <c r="E64" s="24">
        <v>4.9180327868852458E-2</v>
      </c>
      <c r="F64" s="24">
        <v>0.22727272727272727</v>
      </c>
      <c r="G64" s="9">
        <f>_xlfn.XLOOKUP(A64,Employee_Master!A:A,Employee_Master!F:F)</f>
        <v>55448</v>
      </c>
      <c r="H64" s="29">
        <v>0</v>
      </c>
      <c r="I64" s="23" t="s">
        <v>155</v>
      </c>
      <c r="J64" s="34" t="str">
        <f>_xlfn.XLOOKUP(A64,Employee_Master!A:A,Employee_Master!C:C)</f>
        <v>HR</v>
      </c>
      <c r="K64" s="48"/>
      <c r="L64" s="48"/>
      <c r="M64" s="48"/>
      <c r="N64" s="48"/>
      <c r="O64" s="48"/>
      <c r="P64" s="48"/>
      <c r="Q64" s="48"/>
      <c r="R64" s="2"/>
      <c r="S64" s="2"/>
    </row>
    <row r="65" spans="1:19" x14ac:dyDescent="0.25">
      <c r="A65" s="33" t="s">
        <v>8</v>
      </c>
      <c r="B65" s="9" t="s">
        <v>86</v>
      </c>
      <c r="C65" s="24">
        <v>0.72727272727272729</v>
      </c>
      <c r="D65" s="24">
        <v>0.9838709677419355</v>
      </c>
      <c r="E65" s="24">
        <v>0</v>
      </c>
      <c r="F65" s="24">
        <v>0.27272727272727271</v>
      </c>
      <c r="G65" s="9">
        <f>_xlfn.XLOOKUP(A65,Employee_Master!A:A,Employee_Master!F:F)</f>
        <v>55448</v>
      </c>
      <c r="H65" s="29">
        <v>0</v>
      </c>
      <c r="I65" s="23" t="s">
        <v>155</v>
      </c>
      <c r="J65" s="34" t="str">
        <f>_xlfn.XLOOKUP(A65,Employee_Master!A:A,Employee_Master!C:C)</f>
        <v>HR</v>
      </c>
      <c r="K65" s="48"/>
      <c r="L65" s="48"/>
      <c r="M65" s="48"/>
      <c r="N65" s="48"/>
      <c r="O65" s="48"/>
      <c r="P65" s="48"/>
      <c r="Q65" s="48"/>
      <c r="R65"/>
      <c r="S65" s="5"/>
    </row>
    <row r="66" spans="1:19" hidden="1" x14ac:dyDescent="0.25">
      <c r="A66" s="33" t="s">
        <v>56</v>
      </c>
      <c r="B66" s="9" t="s">
        <v>83</v>
      </c>
      <c r="C66" s="24">
        <v>0.95454545454545459</v>
      </c>
      <c r="D66" s="24">
        <v>0.9838709677419355</v>
      </c>
      <c r="E66" s="24">
        <v>0</v>
      </c>
      <c r="F66" s="24">
        <v>4.5454545454545456E-2</v>
      </c>
      <c r="G66" s="9">
        <f>_xlfn.XLOOKUP(A66,Employee_Master!A:A,Employee_Master!F:F)</f>
        <v>89427</v>
      </c>
      <c r="H66" s="29">
        <v>0</v>
      </c>
      <c r="I66" s="23" t="s">
        <v>156</v>
      </c>
      <c r="J66" s="34" t="str">
        <f>_xlfn.XLOOKUP(A66,Employee_Master!A:A,Employee_Master!C:C)</f>
        <v>Sales</v>
      </c>
      <c r="K66" s="48"/>
      <c r="L66" s="48"/>
      <c r="M66" s="48"/>
      <c r="N66" s="48"/>
      <c r="O66" s="48"/>
      <c r="P66" s="48"/>
      <c r="Q66" s="48"/>
      <c r="R66"/>
    </row>
    <row r="67" spans="1:19" x14ac:dyDescent="0.25">
      <c r="A67" s="33" t="s">
        <v>57</v>
      </c>
      <c r="B67" s="9" t="s">
        <v>85</v>
      </c>
      <c r="C67" s="24">
        <v>0.77272727272727271</v>
      </c>
      <c r="D67" s="24">
        <v>0.98360655737704916</v>
      </c>
      <c r="E67" s="24">
        <v>0</v>
      </c>
      <c r="F67" s="24">
        <v>0.22727272727272727</v>
      </c>
      <c r="G67" s="9">
        <f>_xlfn.XLOOKUP(A67,Employee_Master!A:A,Employee_Master!F:F)</f>
        <v>71787</v>
      </c>
      <c r="H67" s="29">
        <v>0</v>
      </c>
      <c r="I67" s="23" t="s">
        <v>155</v>
      </c>
      <c r="J67" s="34" t="str">
        <f>_xlfn.XLOOKUP(A67,Employee_Master!A:A,Employee_Master!C:C)</f>
        <v>HR</v>
      </c>
      <c r="K67" s="48"/>
      <c r="L67" s="48"/>
      <c r="M67" s="48"/>
      <c r="N67" s="48"/>
      <c r="O67" s="48"/>
      <c r="P67" s="48"/>
      <c r="Q67" s="48"/>
      <c r="R67"/>
    </row>
    <row r="68" spans="1:19" x14ac:dyDescent="0.25">
      <c r="A68" s="33" t="s">
        <v>13</v>
      </c>
      <c r="B68" s="9" t="s">
        <v>84</v>
      </c>
      <c r="C68" s="24">
        <v>0.86363636363636365</v>
      </c>
      <c r="D68" s="24">
        <v>0.98305084745762716</v>
      </c>
      <c r="E68" s="24">
        <v>8.6206896551724144E-2</v>
      </c>
      <c r="F68" s="24">
        <v>0.13636363636363635</v>
      </c>
      <c r="G68" s="9">
        <f>_xlfn.XLOOKUP(A68,Employee_Master!A:A,Employee_Master!F:F)</f>
        <v>66433</v>
      </c>
      <c r="H68" s="29">
        <v>0</v>
      </c>
      <c r="I68" s="23" t="s">
        <v>155</v>
      </c>
      <c r="J68" s="34" t="str">
        <f>_xlfn.XLOOKUP(A68,Employee_Master!A:A,Employee_Master!C:C)</f>
        <v>Sales</v>
      </c>
      <c r="K68" s="48"/>
      <c r="L68" s="48"/>
      <c r="M68" s="48"/>
      <c r="N68" s="48"/>
      <c r="O68" s="48"/>
      <c r="P68" s="48"/>
      <c r="Q68" s="48"/>
      <c r="R68"/>
    </row>
    <row r="69" spans="1:19" x14ac:dyDescent="0.25">
      <c r="A69" s="33" t="s">
        <v>67</v>
      </c>
      <c r="B69" s="9" t="s">
        <v>88</v>
      </c>
      <c r="C69" s="24">
        <v>0.90909090909090906</v>
      </c>
      <c r="D69" s="24">
        <v>0.98275862068965514</v>
      </c>
      <c r="E69" s="24">
        <v>8.771929824561403E-2</v>
      </c>
      <c r="F69" s="24">
        <v>9.0909090909090912E-2</v>
      </c>
      <c r="G69" s="9">
        <f>_xlfn.XLOOKUP(A69,Employee_Master!A:A,Employee_Master!F:F)</f>
        <v>57209</v>
      </c>
      <c r="H69" s="29">
        <v>0</v>
      </c>
      <c r="I69" s="23" t="s">
        <v>157</v>
      </c>
      <c r="J69" s="34" t="str">
        <f>_xlfn.XLOOKUP(A69,Employee_Master!A:A,Employee_Master!C:C)</f>
        <v>IT</v>
      </c>
      <c r="K69" s="48"/>
      <c r="L69" s="48"/>
      <c r="M69" s="48"/>
      <c r="N69" s="48"/>
      <c r="O69" s="48"/>
      <c r="P69" s="48"/>
      <c r="Q69" s="48"/>
      <c r="R69"/>
    </row>
    <row r="70" spans="1:19" hidden="1" x14ac:dyDescent="0.25">
      <c r="A70" s="33" t="s">
        <v>26</v>
      </c>
      <c r="B70" s="9" t="s">
        <v>87</v>
      </c>
      <c r="C70" s="24">
        <v>1</v>
      </c>
      <c r="D70" s="24">
        <v>0.98148148148148151</v>
      </c>
      <c r="E70" s="24">
        <v>7.5471698113207544E-2</v>
      </c>
      <c r="F70" s="24">
        <v>0</v>
      </c>
      <c r="G70" s="9">
        <f>_xlfn.XLOOKUP(A70,Employee_Master!A:A,Employee_Master!F:F)</f>
        <v>42012</v>
      </c>
      <c r="H70" s="29">
        <v>0</v>
      </c>
      <c r="I70" s="23" t="s">
        <v>156</v>
      </c>
      <c r="J70" s="34" t="str">
        <f>_xlfn.XLOOKUP(A70,Employee_Master!A:A,Employee_Master!C:C)</f>
        <v>Sales</v>
      </c>
      <c r="K70" s="48"/>
      <c r="L70" s="48"/>
      <c r="M70" s="48"/>
      <c r="N70" s="48"/>
      <c r="O70" s="48"/>
      <c r="P70" s="48"/>
      <c r="Q70" s="48"/>
      <c r="R70"/>
    </row>
    <row r="71" spans="1:19" x14ac:dyDescent="0.25">
      <c r="A71" s="33" t="s">
        <v>57</v>
      </c>
      <c r="B71" s="9" t="s">
        <v>86</v>
      </c>
      <c r="C71" s="24">
        <v>0.86363636363636365</v>
      </c>
      <c r="D71" s="24">
        <v>0.98148148148148151</v>
      </c>
      <c r="E71" s="24">
        <v>7.5471698113207544E-2</v>
      </c>
      <c r="F71" s="24">
        <v>0.13636363636363635</v>
      </c>
      <c r="G71" s="9">
        <f>_xlfn.XLOOKUP(A71,Employee_Master!A:A,Employee_Master!F:F)</f>
        <v>71787</v>
      </c>
      <c r="H71" s="29">
        <v>0</v>
      </c>
      <c r="I71" s="23" t="s">
        <v>155</v>
      </c>
      <c r="J71" s="34" t="str">
        <f>_xlfn.XLOOKUP(A71,Employee_Master!A:A,Employee_Master!C:C)</f>
        <v>HR</v>
      </c>
      <c r="K71" s="48"/>
      <c r="L71" s="48"/>
      <c r="M71" s="48"/>
      <c r="N71" s="48"/>
      <c r="O71" s="48"/>
      <c r="P71" s="48"/>
      <c r="Q71" s="48"/>
      <c r="R71"/>
    </row>
    <row r="72" spans="1:19" x14ac:dyDescent="0.25">
      <c r="A72" s="33" t="s">
        <v>48</v>
      </c>
      <c r="B72" s="9" t="s">
        <v>86</v>
      </c>
      <c r="C72" s="24">
        <v>0.81818181818181823</v>
      </c>
      <c r="D72" s="24">
        <v>0.98113207547169812</v>
      </c>
      <c r="E72" s="24">
        <v>3.8461538461538464E-2</v>
      </c>
      <c r="F72" s="24">
        <v>0.18181818181818182</v>
      </c>
      <c r="G72" s="9">
        <f>_xlfn.XLOOKUP(A72,Employee_Master!A:A,Employee_Master!F:F)</f>
        <v>75277</v>
      </c>
      <c r="H72" s="29">
        <v>0</v>
      </c>
      <c r="I72" s="23" t="s">
        <v>155</v>
      </c>
      <c r="J72" s="34" t="str">
        <f>_xlfn.XLOOKUP(A72,Employee_Master!A:A,Employee_Master!C:C)</f>
        <v>HR</v>
      </c>
      <c r="K72" s="48"/>
      <c r="L72" s="48"/>
      <c r="M72" s="48"/>
      <c r="N72" s="48"/>
      <c r="O72" s="48"/>
      <c r="P72" s="48"/>
      <c r="Q72" s="48"/>
      <c r="R72"/>
    </row>
    <row r="73" spans="1:19" x14ac:dyDescent="0.25">
      <c r="A73" s="33" t="s">
        <v>18</v>
      </c>
      <c r="B73" s="9" t="s">
        <v>83</v>
      </c>
      <c r="C73" s="24">
        <v>0.86363636363636365</v>
      </c>
      <c r="D73" s="24">
        <v>0.98076923076923062</v>
      </c>
      <c r="E73" s="24">
        <v>5.8823529411764698E-2</v>
      </c>
      <c r="F73" s="24">
        <v>0.13636363636363635</v>
      </c>
      <c r="G73" s="9">
        <f>_xlfn.XLOOKUP(A73,Employee_Master!A:A,Employee_Master!F:F)</f>
        <v>49957</v>
      </c>
      <c r="H73" s="29">
        <v>0</v>
      </c>
      <c r="I73" s="23" t="s">
        <v>155</v>
      </c>
      <c r="J73" s="34" t="str">
        <f>_xlfn.XLOOKUP(A73,Employee_Master!A:A,Employee_Master!C:C)</f>
        <v>HR</v>
      </c>
      <c r="K73" s="48"/>
      <c r="L73" s="48"/>
      <c r="M73" s="48"/>
      <c r="N73" s="48"/>
      <c r="O73" s="48"/>
      <c r="P73" s="48"/>
      <c r="Q73" s="48"/>
      <c r="R73"/>
    </row>
    <row r="74" spans="1:19" x14ac:dyDescent="0.25">
      <c r="A74" s="33" t="s">
        <v>26</v>
      </c>
      <c r="B74" s="9" t="s">
        <v>86</v>
      </c>
      <c r="C74" s="24">
        <v>0.90909090909090906</v>
      </c>
      <c r="D74" s="24">
        <v>0.98076923076923062</v>
      </c>
      <c r="E74" s="24">
        <v>1.9607843137254902E-2</v>
      </c>
      <c r="F74" s="24">
        <v>9.0909090909090912E-2</v>
      </c>
      <c r="G74" s="9">
        <f>_xlfn.XLOOKUP(A74,Employee_Master!A:A,Employee_Master!F:F)</f>
        <v>42012</v>
      </c>
      <c r="H74" s="29">
        <v>0</v>
      </c>
      <c r="I74" s="23" t="s">
        <v>157</v>
      </c>
      <c r="J74" s="34" t="str">
        <f>_xlfn.XLOOKUP(A74,Employee_Master!A:A,Employee_Master!C:C)</f>
        <v>Sales</v>
      </c>
      <c r="K74" s="48"/>
      <c r="L74" s="48"/>
      <c r="M74" s="48"/>
      <c r="N74" s="48"/>
      <c r="O74" s="48"/>
      <c r="P74" s="48"/>
      <c r="Q74" s="48"/>
      <c r="R74"/>
    </row>
    <row r="75" spans="1:19" hidden="1" x14ac:dyDescent="0.25">
      <c r="A75" s="33" t="s">
        <v>61</v>
      </c>
      <c r="B75" s="9" t="s">
        <v>85</v>
      </c>
      <c r="C75" s="24">
        <v>0.95454545454545459</v>
      </c>
      <c r="D75" s="24">
        <v>0.98076923076923062</v>
      </c>
      <c r="E75" s="24">
        <v>1.9607843137254902E-2</v>
      </c>
      <c r="F75" s="24">
        <v>4.5454545454545456E-2</v>
      </c>
      <c r="G75" s="9">
        <f>_xlfn.XLOOKUP(A75,Employee_Master!A:A,Employee_Master!F:F)</f>
        <v>54123</v>
      </c>
      <c r="H75" s="29">
        <v>0</v>
      </c>
      <c r="I75" s="23" t="s">
        <v>156</v>
      </c>
      <c r="J75" s="34" t="str">
        <f>_xlfn.XLOOKUP(A75,Employee_Master!A:A,Employee_Master!C:C)</f>
        <v>HR</v>
      </c>
      <c r="K75" s="48"/>
      <c r="L75" s="48"/>
      <c r="M75" s="48"/>
      <c r="N75" s="48"/>
      <c r="O75" s="48"/>
      <c r="P75" s="48"/>
      <c r="Q75" s="48"/>
      <c r="R75"/>
    </row>
    <row r="76" spans="1:19" hidden="1" x14ac:dyDescent="0.25">
      <c r="A76" s="33" t="s">
        <v>18</v>
      </c>
      <c r="B76" s="9" t="s">
        <v>85</v>
      </c>
      <c r="C76" s="24">
        <v>1</v>
      </c>
      <c r="D76" s="24">
        <v>0.98</v>
      </c>
      <c r="E76" s="24">
        <v>6.1224489795918366E-2</v>
      </c>
      <c r="F76" s="24">
        <v>0</v>
      </c>
      <c r="G76" s="9">
        <f>_xlfn.XLOOKUP(A76,Employee_Master!A:A,Employee_Master!F:F)</f>
        <v>49957</v>
      </c>
      <c r="H76" s="29">
        <v>0</v>
      </c>
      <c r="I76" s="23" t="s">
        <v>156</v>
      </c>
      <c r="J76" s="34" t="str">
        <f>_xlfn.XLOOKUP(A76,Employee_Master!A:A,Employee_Master!C:C)</f>
        <v>HR</v>
      </c>
      <c r="K76" s="48"/>
      <c r="L76" s="48"/>
      <c r="M76" s="48"/>
      <c r="N76" s="48"/>
      <c r="O76" s="48"/>
      <c r="P76" s="48"/>
      <c r="Q76" s="48"/>
      <c r="R76"/>
    </row>
    <row r="77" spans="1:19" hidden="1" x14ac:dyDescent="0.25">
      <c r="A77" s="33" t="s">
        <v>31</v>
      </c>
      <c r="B77" s="9" t="s">
        <v>86</v>
      </c>
      <c r="C77" s="24">
        <v>1</v>
      </c>
      <c r="D77" s="24">
        <v>0.97959183673469385</v>
      </c>
      <c r="E77" s="24">
        <v>6.25E-2</v>
      </c>
      <c r="F77" s="24">
        <v>0</v>
      </c>
      <c r="G77" s="9">
        <f>_xlfn.XLOOKUP(A77,Employee_Master!A:A,Employee_Master!F:F)</f>
        <v>84043</v>
      </c>
      <c r="H77" s="29">
        <v>0</v>
      </c>
      <c r="I77" s="23" t="s">
        <v>156</v>
      </c>
      <c r="J77" s="34" t="str">
        <f>_xlfn.XLOOKUP(A77,Employee_Master!A:A,Employee_Master!C:C)</f>
        <v>HR</v>
      </c>
      <c r="K77" s="48"/>
      <c r="L77" s="48"/>
      <c r="M77" s="48"/>
      <c r="N77" s="48"/>
      <c r="O77" s="48"/>
      <c r="P77" s="48"/>
      <c r="Q77" s="48"/>
      <c r="R77"/>
    </row>
    <row r="78" spans="1:19" x14ac:dyDescent="0.25">
      <c r="A78" s="33" t="s">
        <v>57</v>
      </c>
      <c r="B78" s="9" t="s">
        <v>88</v>
      </c>
      <c r="C78" s="24">
        <v>0.77272727272727271</v>
      </c>
      <c r="D78" s="24">
        <v>0.97959183673469385</v>
      </c>
      <c r="E78" s="24">
        <v>0</v>
      </c>
      <c r="F78" s="24">
        <v>0.22727272727272727</v>
      </c>
      <c r="G78" s="9">
        <f>_xlfn.XLOOKUP(A78,Employee_Master!A:A,Employee_Master!F:F)</f>
        <v>71787</v>
      </c>
      <c r="H78" s="29">
        <v>0</v>
      </c>
      <c r="I78" s="23" t="s">
        <v>155</v>
      </c>
      <c r="J78" s="34" t="str">
        <f>_xlfn.XLOOKUP(A78,Employee_Master!A:A,Employee_Master!C:C)</f>
        <v>HR</v>
      </c>
      <c r="K78" s="48"/>
      <c r="L78" s="48"/>
      <c r="M78" s="48"/>
      <c r="N78" s="48"/>
      <c r="O78" s="48"/>
      <c r="P78" s="48"/>
      <c r="Q78" s="48"/>
      <c r="R78"/>
    </row>
    <row r="79" spans="1:19" x14ac:dyDescent="0.25">
      <c r="A79" s="33" t="s">
        <v>78</v>
      </c>
      <c r="B79" s="9" t="s">
        <v>87</v>
      </c>
      <c r="C79" s="24">
        <v>0.72727272727272729</v>
      </c>
      <c r="D79" s="24">
        <v>0.97959183673469385</v>
      </c>
      <c r="E79" s="24">
        <v>0</v>
      </c>
      <c r="F79" s="24">
        <v>0.27272727272727271</v>
      </c>
      <c r="G79" s="9">
        <f>_xlfn.XLOOKUP(A79,Employee_Master!A:A,Employee_Master!F:F)</f>
        <v>36280</v>
      </c>
      <c r="H79" s="29">
        <v>0</v>
      </c>
      <c r="I79" s="23" t="s">
        <v>155</v>
      </c>
      <c r="J79" s="34" t="str">
        <f>_xlfn.XLOOKUP(A79,Employee_Master!A:A,Employee_Master!C:C)</f>
        <v>HR</v>
      </c>
      <c r="K79" s="48"/>
      <c r="L79" s="48"/>
      <c r="M79" s="48"/>
      <c r="N79" s="48"/>
      <c r="O79" s="48"/>
      <c r="P79" s="48"/>
      <c r="Q79" s="48"/>
      <c r="R79"/>
    </row>
    <row r="80" spans="1:19" hidden="1" x14ac:dyDescent="0.25">
      <c r="A80" s="33" t="s">
        <v>38</v>
      </c>
      <c r="B80" s="9" t="s">
        <v>84</v>
      </c>
      <c r="C80" s="24">
        <v>1</v>
      </c>
      <c r="D80" s="24">
        <v>0.97916666666666652</v>
      </c>
      <c r="E80" s="24">
        <v>8.5106382978723402E-2</v>
      </c>
      <c r="F80" s="24">
        <v>0</v>
      </c>
      <c r="G80" s="9">
        <f>_xlfn.XLOOKUP(A80,Employee_Master!A:A,Employee_Master!F:F)</f>
        <v>36447</v>
      </c>
      <c r="H80" s="29">
        <v>0</v>
      </c>
      <c r="I80" s="23" t="s">
        <v>156</v>
      </c>
      <c r="J80" s="34" t="str">
        <f>_xlfn.XLOOKUP(A80,Employee_Master!A:A,Employee_Master!C:C)</f>
        <v>IT</v>
      </c>
      <c r="K80" s="48"/>
      <c r="L80" s="48"/>
      <c r="M80" s="48"/>
      <c r="N80" s="48"/>
      <c r="O80" s="48"/>
      <c r="P80" s="48"/>
      <c r="Q80" s="48"/>
      <c r="R80"/>
    </row>
    <row r="81" spans="1:18" x14ac:dyDescent="0.25">
      <c r="A81" s="33" t="s">
        <v>73</v>
      </c>
      <c r="B81" s="9" t="s">
        <v>87</v>
      </c>
      <c r="C81" s="24">
        <v>0.77272727272727271</v>
      </c>
      <c r="D81" s="24">
        <v>0.97872340425531912</v>
      </c>
      <c r="E81" s="24">
        <v>2.1739130434782608E-2</v>
      </c>
      <c r="F81" s="24">
        <v>0.22727272727272727</v>
      </c>
      <c r="G81" s="9">
        <f>_xlfn.XLOOKUP(A81,Employee_Master!A:A,Employee_Master!F:F)</f>
        <v>37548</v>
      </c>
      <c r="H81" s="29">
        <v>0</v>
      </c>
      <c r="I81" s="23" t="s">
        <v>155</v>
      </c>
      <c r="J81" s="34" t="str">
        <f>_xlfn.XLOOKUP(A81,Employee_Master!A:A,Employee_Master!C:C)</f>
        <v>Sales</v>
      </c>
      <c r="K81" s="48"/>
      <c r="L81" s="48"/>
      <c r="M81" s="48"/>
      <c r="N81" s="48"/>
      <c r="O81" s="48"/>
      <c r="P81" s="48"/>
      <c r="Q81" s="48"/>
      <c r="R81"/>
    </row>
    <row r="82" spans="1:18" x14ac:dyDescent="0.25">
      <c r="A82" s="33" t="s">
        <v>33</v>
      </c>
      <c r="B82" s="9" t="s">
        <v>83</v>
      </c>
      <c r="C82" s="24">
        <v>0.90909090909090906</v>
      </c>
      <c r="D82" s="24">
        <v>0.97826086956521729</v>
      </c>
      <c r="E82" s="24">
        <v>8.8888888888888892E-2</v>
      </c>
      <c r="F82" s="24">
        <v>9.0909090909090912E-2</v>
      </c>
      <c r="G82" s="9">
        <f>_xlfn.XLOOKUP(A82,Employee_Master!A:A,Employee_Master!F:F)</f>
        <v>46257</v>
      </c>
      <c r="H82" s="29">
        <v>0</v>
      </c>
      <c r="I82" s="23" t="s">
        <v>157</v>
      </c>
      <c r="J82" s="34" t="str">
        <f>_xlfn.XLOOKUP(A82,Employee_Master!A:A,Employee_Master!C:C)</f>
        <v>HR</v>
      </c>
      <c r="K82" s="48"/>
      <c r="L82" s="48"/>
      <c r="M82" s="48"/>
      <c r="N82" s="48"/>
      <c r="O82" s="48"/>
      <c r="P82" s="48"/>
      <c r="Q82" s="48"/>
      <c r="R82"/>
    </row>
    <row r="83" spans="1:18" hidden="1" x14ac:dyDescent="0.25">
      <c r="A83" s="33" t="s">
        <v>22</v>
      </c>
      <c r="B83" s="9" t="s">
        <v>83</v>
      </c>
      <c r="C83" s="24">
        <v>1</v>
      </c>
      <c r="D83" s="24">
        <v>0.97777777777777775</v>
      </c>
      <c r="E83" s="24">
        <v>0</v>
      </c>
      <c r="F83" s="24">
        <v>0</v>
      </c>
      <c r="G83" s="9">
        <f>_xlfn.XLOOKUP(A83,Employee_Master!A:A,Employee_Master!F:F)</f>
        <v>38396</v>
      </c>
      <c r="H83" s="29">
        <v>0</v>
      </c>
      <c r="I83" s="23" t="s">
        <v>156</v>
      </c>
      <c r="J83" s="34" t="str">
        <f>_xlfn.XLOOKUP(A83,Employee_Master!A:A,Employee_Master!C:C)</f>
        <v>IT</v>
      </c>
      <c r="K83" s="48"/>
      <c r="L83" s="48"/>
      <c r="M83" s="48"/>
      <c r="N83" s="48"/>
      <c r="O83" s="48"/>
      <c r="P83" s="48"/>
      <c r="Q83" s="48"/>
      <c r="R83"/>
    </row>
    <row r="84" spans="1:18" x14ac:dyDescent="0.25">
      <c r="A84" s="33" t="s">
        <v>47</v>
      </c>
      <c r="B84" s="9" t="s">
        <v>88</v>
      </c>
      <c r="C84" s="24">
        <v>0.72727272727272729</v>
      </c>
      <c r="D84" s="24">
        <v>0.97590361445783136</v>
      </c>
      <c r="E84" s="24">
        <v>3.7037037037037035E-2</v>
      </c>
      <c r="F84" s="24">
        <v>0.27272727272727271</v>
      </c>
      <c r="G84" s="9">
        <f>_xlfn.XLOOKUP(A84,Employee_Master!A:A,Employee_Master!F:F)</f>
        <v>84504</v>
      </c>
      <c r="H84" s="29">
        <v>0</v>
      </c>
      <c r="I84" s="23" t="s">
        <v>155</v>
      </c>
      <c r="J84" s="34" t="str">
        <f>_xlfn.XLOOKUP(A84,Employee_Master!A:A,Employee_Master!C:C)</f>
        <v>Finance</v>
      </c>
      <c r="K84" s="48"/>
      <c r="L84" s="48"/>
      <c r="M84" s="48"/>
      <c r="N84" s="48"/>
      <c r="O84" s="48"/>
      <c r="P84" s="48"/>
      <c r="Q84" s="48"/>
      <c r="R84"/>
    </row>
    <row r="85" spans="1:18" x14ac:dyDescent="0.25">
      <c r="A85" s="33" t="s">
        <v>66</v>
      </c>
      <c r="B85" s="9" t="s">
        <v>87</v>
      </c>
      <c r="C85" s="24">
        <v>0.72727272727272729</v>
      </c>
      <c r="D85" s="24">
        <v>0.97590361445783136</v>
      </c>
      <c r="E85" s="24">
        <v>4.9382716049382713E-2</v>
      </c>
      <c r="F85" s="24">
        <v>0.27272727272727271</v>
      </c>
      <c r="G85" s="9">
        <f>_xlfn.XLOOKUP(A85,Employee_Master!A:A,Employee_Master!F:F)</f>
        <v>35728</v>
      </c>
      <c r="H85" s="29">
        <v>0</v>
      </c>
      <c r="I85" s="23" t="s">
        <v>155</v>
      </c>
      <c r="J85" s="34" t="str">
        <f>_xlfn.XLOOKUP(A85,Employee_Master!A:A,Employee_Master!C:C)</f>
        <v>Finance</v>
      </c>
      <c r="K85" s="48"/>
      <c r="L85" s="48"/>
      <c r="M85" s="48"/>
      <c r="N85" s="48"/>
      <c r="O85" s="48"/>
      <c r="P85" s="48"/>
      <c r="Q85" s="48"/>
      <c r="R85"/>
    </row>
    <row r="86" spans="1:18" x14ac:dyDescent="0.25">
      <c r="A86" s="33" t="s">
        <v>22</v>
      </c>
      <c r="B86" s="9" t="s">
        <v>85</v>
      </c>
      <c r="C86" s="24">
        <v>0.90909090909090906</v>
      </c>
      <c r="D86" s="24">
        <v>0.97499999999999998</v>
      </c>
      <c r="E86" s="24">
        <v>2.564102564102564E-2</v>
      </c>
      <c r="F86" s="24">
        <v>9.0909090909090912E-2</v>
      </c>
      <c r="G86" s="9">
        <f>_xlfn.XLOOKUP(A86,Employee_Master!A:A,Employee_Master!F:F)</f>
        <v>38396</v>
      </c>
      <c r="H86" s="29">
        <v>0</v>
      </c>
      <c r="I86" s="23" t="s">
        <v>157</v>
      </c>
      <c r="J86" s="34" t="str">
        <f>_xlfn.XLOOKUP(A86,Employee_Master!A:A,Employee_Master!C:C)</f>
        <v>IT</v>
      </c>
      <c r="K86" s="48"/>
      <c r="L86" s="48"/>
      <c r="M86" s="48"/>
      <c r="N86" s="48"/>
      <c r="O86" s="48"/>
      <c r="P86" s="48"/>
      <c r="Q86" s="48"/>
      <c r="R86"/>
    </row>
    <row r="87" spans="1:18" x14ac:dyDescent="0.25">
      <c r="A87" s="33" t="s">
        <v>43</v>
      </c>
      <c r="B87" s="9" t="s">
        <v>88</v>
      </c>
      <c r="C87" s="24">
        <v>0.72727272727272729</v>
      </c>
      <c r="D87" s="24">
        <v>0.97499999999999998</v>
      </c>
      <c r="E87" s="24">
        <v>5.128205128205128E-2</v>
      </c>
      <c r="F87" s="24">
        <v>0.27272727272727271</v>
      </c>
      <c r="G87" s="9">
        <f>_xlfn.XLOOKUP(A87,Employee_Master!A:A,Employee_Master!F:F)</f>
        <v>59857</v>
      </c>
      <c r="H87" s="29">
        <v>0</v>
      </c>
      <c r="I87" s="23" t="s">
        <v>155</v>
      </c>
      <c r="J87" s="34" t="str">
        <f>_xlfn.XLOOKUP(A87,Employee_Master!A:A,Employee_Master!C:C)</f>
        <v>Finance</v>
      </c>
      <c r="K87" s="48"/>
      <c r="L87" s="48"/>
      <c r="M87" s="48"/>
      <c r="N87" s="48"/>
      <c r="O87" s="48"/>
      <c r="P87" s="48"/>
      <c r="Q87" s="48"/>
      <c r="R87"/>
    </row>
    <row r="88" spans="1:18" hidden="1" x14ac:dyDescent="0.25">
      <c r="A88" s="33" t="s">
        <v>76</v>
      </c>
      <c r="B88" s="9" t="s">
        <v>83</v>
      </c>
      <c r="C88" s="24">
        <v>1</v>
      </c>
      <c r="D88" s="24">
        <v>0.97499999999999998</v>
      </c>
      <c r="E88" s="24">
        <v>7.6923076923076927E-2</v>
      </c>
      <c r="F88" s="24">
        <v>0</v>
      </c>
      <c r="G88" s="9">
        <f>_xlfn.XLOOKUP(A88,Employee_Master!A:A,Employee_Master!F:F)</f>
        <v>39915</v>
      </c>
      <c r="H88" s="29">
        <v>0</v>
      </c>
      <c r="I88" s="23" t="s">
        <v>156</v>
      </c>
      <c r="J88" s="34" t="str">
        <f>_xlfn.XLOOKUP(A88,Employee_Master!A:A,Employee_Master!C:C)</f>
        <v>HR</v>
      </c>
      <c r="K88" s="48"/>
      <c r="L88" s="48"/>
      <c r="M88" s="48"/>
      <c r="N88" s="48"/>
      <c r="O88" s="48"/>
      <c r="P88" s="48"/>
      <c r="Q88" s="48"/>
      <c r="R88"/>
    </row>
    <row r="89" spans="1:18" x14ac:dyDescent="0.25">
      <c r="A89" s="33" t="s">
        <v>31</v>
      </c>
      <c r="B89" s="9" t="s">
        <v>88</v>
      </c>
      <c r="C89" s="24">
        <v>0.72727272727272729</v>
      </c>
      <c r="D89" s="24">
        <v>0.97468354430379744</v>
      </c>
      <c r="E89" s="24">
        <v>5.1948051948051945E-2</v>
      </c>
      <c r="F89" s="24">
        <v>0.27272727272727271</v>
      </c>
      <c r="G89" s="9">
        <f>_xlfn.XLOOKUP(A89,Employee_Master!A:A,Employee_Master!F:F)</f>
        <v>84043</v>
      </c>
      <c r="H89" s="29">
        <v>0</v>
      </c>
      <c r="I89" s="23" t="s">
        <v>155</v>
      </c>
      <c r="J89" s="34" t="str">
        <f>_xlfn.XLOOKUP(A89,Employee_Master!A:A,Employee_Master!C:C)</f>
        <v>HR</v>
      </c>
      <c r="K89" s="48"/>
      <c r="L89" s="48"/>
      <c r="M89" s="48"/>
      <c r="N89" s="48"/>
      <c r="O89" s="48"/>
      <c r="P89" s="48"/>
      <c r="Q89" s="48"/>
      <c r="R89"/>
    </row>
    <row r="90" spans="1:18" x14ac:dyDescent="0.25">
      <c r="A90" s="33" t="s">
        <v>34</v>
      </c>
      <c r="B90" s="9" t="s">
        <v>87</v>
      </c>
      <c r="C90" s="24">
        <v>0.90909090909090906</v>
      </c>
      <c r="D90" s="24">
        <v>0.97402597402597413</v>
      </c>
      <c r="E90" s="24">
        <v>0.04</v>
      </c>
      <c r="F90" s="24">
        <v>9.0909090909090912E-2</v>
      </c>
      <c r="G90" s="9">
        <f>_xlfn.XLOOKUP(A90,Employee_Master!A:A,Employee_Master!F:F)</f>
        <v>45880</v>
      </c>
      <c r="H90" s="29">
        <v>0</v>
      </c>
      <c r="I90" s="23" t="s">
        <v>157</v>
      </c>
      <c r="J90" s="34" t="str">
        <f>_xlfn.XLOOKUP(A90,Employee_Master!A:A,Employee_Master!C:C)</f>
        <v>Sales</v>
      </c>
      <c r="K90" s="48"/>
      <c r="L90" s="48"/>
      <c r="M90" s="48"/>
      <c r="N90" s="48"/>
      <c r="O90" s="48"/>
      <c r="P90" s="48"/>
      <c r="Q90" s="48"/>
      <c r="R90"/>
    </row>
    <row r="91" spans="1:18" x14ac:dyDescent="0.25">
      <c r="A91" s="33" t="s">
        <v>62</v>
      </c>
      <c r="B91" s="9" t="s">
        <v>87</v>
      </c>
      <c r="C91" s="24">
        <v>0.86363636363636365</v>
      </c>
      <c r="D91" s="24">
        <v>0.97402597402597413</v>
      </c>
      <c r="E91" s="24">
        <v>0.04</v>
      </c>
      <c r="F91" s="24">
        <v>0.13636363636363635</v>
      </c>
      <c r="G91" s="9">
        <f>_xlfn.XLOOKUP(A91,Employee_Master!A:A,Employee_Master!F:F)</f>
        <v>83035</v>
      </c>
      <c r="H91" s="29">
        <v>0</v>
      </c>
      <c r="I91" s="23" t="s">
        <v>155</v>
      </c>
      <c r="J91" s="34" t="str">
        <f>_xlfn.XLOOKUP(A91,Employee_Master!A:A,Employee_Master!C:C)</f>
        <v>HR</v>
      </c>
      <c r="K91" s="48"/>
      <c r="L91" s="48"/>
      <c r="M91" s="48"/>
      <c r="N91" s="48"/>
      <c r="O91" s="48"/>
      <c r="P91" s="48"/>
      <c r="Q91" s="48"/>
      <c r="R91"/>
    </row>
    <row r="92" spans="1:18" x14ac:dyDescent="0.25">
      <c r="A92" s="33" t="s">
        <v>48</v>
      </c>
      <c r="B92" s="9" t="s">
        <v>87</v>
      </c>
      <c r="C92" s="24">
        <v>0.77272727272727271</v>
      </c>
      <c r="D92" s="24">
        <v>0.97368421052631571</v>
      </c>
      <c r="E92" s="24">
        <v>5.405405405405405E-2</v>
      </c>
      <c r="F92" s="24">
        <v>0.22727272727272727</v>
      </c>
      <c r="G92" s="9">
        <f>_xlfn.XLOOKUP(A92,Employee_Master!A:A,Employee_Master!F:F)</f>
        <v>75277</v>
      </c>
      <c r="H92" s="29">
        <v>0</v>
      </c>
      <c r="I92" s="23" t="s">
        <v>155</v>
      </c>
      <c r="J92" s="34" t="str">
        <f>_xlfn.XLOOKUP(A92,Employee_Master!A:A,Employee_Master!C:C)</f>
        <v>HR</v>
      </c>
      <c r="K92" s="48"/>
      <c r="L92" s="48"/>
      <c r="M92" s="48"/>
      <c r="N92" s="48"/>
      <c r="O92" s="48"/>
      <c r="P92" s="48"/>
      <c r="Q92" s="48"/>
      <c r="R92"/>
    </row>
    <row r="93" spans="1:18" hidden="1" x14ac:dyDescent="0.25">
      <c r="A93" s="33" t="s">
        <v>58</v>
      </c>
      <c r="B93" s="9" t="s">
        <v>85</v>
      </c>
      <c r="C93" s="24">
        <v>0.95454545454545459</v>
      </c>
      <c r="D93" s="24">
        <v>0.97368421052631571</v>
      </c>
      <c r="E93" s="24">
        <v>5.405405405405405E-2</v>
      </c>
      <c r="F93" s="24">
        <v>4.5454545454545456E-2</v>
      </c>
      <c r="G93" s="9">
        <f>_xlfn.XLOOKUP(A93,Employee_Master!A:A,Employee_Master!F:F)</f>
        <v>55298</v>
      </c>
      <c r="H93" s="29">
        <v>0</v>
      </c>
      <c r="I93" s="23" t="s">
        <v>156</v>
      </c>
      <c r="J93" s="34" t="str">
        <f>_xlfn.XLOOKUP(A93,Employee_Master!A:A,Employee_Master!C:C)</f>
        <v>Finance</v>
      </c>
      <c r="K93" s="48"/>
      <c r="L93" s="48"/>
      <c r="M93" s="48"/>
      <c r="N93" s="48"/>
      <c r="O93" s="48"/>
      <c r="P93" s="48"/>
      <c r="Q93" s="48"/>
      <c r="R93"/>
    </row>
    <row r="94" spans="1:18" x14ac:dyDescent="0.25">
      <c r="A94" s="33" t="s">
        <v>39</v>
      </c>
      <c r="B94" s="9" t="s">
        <v>87</v>
      </c>
      <c r="C94" s="24">
        <v>0.77272727272727271</v>
      </c>
      <c r="D94" s="24">
        <v>0.97333333333333338</v>
      </c>
      <c r="E94" s="24">
        <v>1.3698630136986301E-2</v>
      </c>
      <c r="F94" s="24">
        <v>0.22727272727272727</v>
      </c>
      <c r="G94" s="9">
        <f>_xlfn.XLOOKUP(A94,Employee_Master!A:A,Employee_Master!F:F)</f>
        <v>89085</v>
      </c>
      <c r="H94" s="29">
        <v>0</v>
      </c>
      <c r="I94" s="23" t="s">
        <v>155</v>
      </c>
      <c r="J94" s="34" t="str">
        <f>_xlfn.XLOOKUP(A94,Employee_Master!A:A,Employee_Master!C:C)</f>
        <v>Sales</v>
      </c>
      <c r="K94" s="48"/>
      <c r="L94" s="48"/>
      <c r="M94" s="48"/>
      <c r="N94" s="48"/>
      <c r="O94" s="48"/>
      <c r="P94" s="48"/>
      <c r="Q94" s="48"/>
      <c r="R94"/>
    </row>
    <row r="95" spans="1:18" x14ac:dyDescent="0.25">
      <c r="A95" s="33" t="s">
        <v>42</v>
      </c>
      <c r="B95" s="9" t="s">
        <v>86</v>
      </c>
      <c r="C95" s="24">
        <v>0.90909090909090906</v>
      </c>
      <c r="D95" s="24">
        <v>0.97333333333333338</v>
      </c>
      <c r="E95" s="24">
        <v>6.8493150684931503E-2</v>
      </c>
      <c r="F95" s="24">
        <v>9.0909090909090912E-2</v>
      </c>
      <c r="G95" s="9">
        <f>_xlfn.XLOOKUP(A95,Employee_Master!A:A,Employee_Master!F:F)</f>
        <v>61034</v>
      </c>
      <c r="H95" s="29">
        <v>0</v>
      </c>
      <c r="I95" s="23" t="s">
        <v>157</v>
      </c>
      <c r="J95" s="34" t="str">
        <f>_xlfn.XLOOKUP(A95,Employee_Master!A:A,Employee_Master!C:C)</f>
        <v>Finance</v>
      </c>
      <c r="K95" s="48"/>
      <c r="L95" s="48"/>
      <c r="M95" s="48"/>
      <c r="N95" s="48"/>
      <c r="O95" s="48"/>
      <c r="P95" s="48"/>
      <c r="Q95" s="48"/>
      <c r="R95"/>
    </row>
    <row r="96" spans="1:18" x14ac:dyDescent="0.25">
      <c r="A96" s="33" t="s">
        <v>45</v>
      </c>
      <c r="B96" s="9" t="s">
        <v>83</v>
      </c>
      <c r="C96" s="24">
        <v>0.77272727272727271</v>
      </c>
      <c r="D96" s="24">
        <v>0.9722222222222221</v>
      </c>
      <c r="E96" s="24">
        <v>2.8571428571428571E-2</v>
      </c>
      <c r="F96" s="24">
        <v>0.22727272727272727</v>
      </c>
      <c r="G96" s="9">
        <f>_xlfn.XLOOKUP(A96,Employee_Master!A:A,Employee_Master!F:F)</f>
        <v>37716</v>
      </c>
      <c r="H96" s="29">
        <v>0</v>
      </c>
      <c r="I96" s="23" t="s">
        <v>155</v>
      </c>
      <c r="J96" s="34" t="str">
        <f>_xlfn.XLOOKUP(A96,Employee_Master!A:A,Employee_Master!C:C)</f>
        <v>IT</v>
      </c>
      <c r="K96" s="48"/>
      <c r="L96" s="48"/>
      <c r="M96" s="48"/>
      <c r="N96" s="48"/>
      <c r="O96" s="48"/>
      <c r="P96" s="48"/>
      <c r="Q96" s="48"/>
      <c r="R96"/>
    </row>
    <row r="97" spans="1:18" x14ac:dyDescent="0.25">
      <c r="A97" s="33" t="s">
        <v>57</v>
      </c>
      <c r="B97" s="9" t="s">
        <v>83</v>
      </c>
      <c r="C97" s="24">
        <v>0.81818181818181823</v>
      </c>
      <c r="D97" s="24">
        <v>0.9722222222222221</v>
      </c>
      <c r="E97" s="24">
        <v>2.8571428571428571E-2</v>
      </c>
      <c r="F97" s="24">
        <v>0.18181818181818182</v>
      </c>
      <c r="G97" s="9">
        <f>_xlfn.XLOOKUP(A97,Employee_Master!A:A,Employee_Master!F:F)</f>
        <v>71787</v>
      </c>
      <c r="H97" s="29">
        <v>0</v>
      </c>
      <c r="I97" s="23" t="s">
        <v>155</v>
      </c>
      <c r="J97" s="34" t="str">
        <f>_xlfn.XLOOKUP(A97,Employee_Master!A:A,Employee_Master!C:C)</f>
        <v>HR</v>
      </c>
      <c r="K97" s="48"/>
      <c r="L97" s="48"/>
      <c r="M97" s="48"/>
      <c r="N97" s="48"/>
      <c r="O97" s="48"/>
      <c r="P97" s="48"/>
      <c r="Q97" s="48"/>
      <c r="R97"/>
    </row>
    <row r="98" spans="1:18" x14ac:dyDescent="0.25">
      <c r="A98" s="33" t="s">
        <v>74</v>
      </c>
      <c r="B98" s="9" t="s">
        <v>85</v>
      </c>
      <c r="C98" s="24">
        <v>0.90909090909090906</v>
      </c>
      <c r="D98" s="24">
        <v>0.9722222222222221</v>
      </c>
      <c r="E98" s="24">
        <v>2.8571428571428571E-2</v>
      </c>
      <c r="F98" s="24">
        <v>9.0909090909090912E-2</v>
      </c>
      <c r="G98" s="9">
        <f>_xlfn.XLOOKUP(A98,Employee_Master!A:A,Employee_Master!F:F)</f>
        <v>44020</v>
      </c>
      <c r="H98" s="29">
        <v>0</v>
      </c>
      <c r="I98" s="23" t="s">
        <v>157</v>
      </c>
      <c r="J98" s="34" t="str">
        <f>_xlfn.XLOOKUP(A98,Employee_Master!A:A,Employee_Master!C:C)</f>
        <v>IT</v>
      </c>
      <c r="K98" s="48"/>
      <c r="L98" s="48"/>
      <c r="M98" s="48"/>
      <c r="N98" s="48"/>
      <c r="O98" s="48"/>
      <c r="P98" s="48"/>
      <c r="Q98" s="48"/>
      <c r="R98"/>
    </row>
    <row r="99" spans="1:18" hidden="1" x14ac:dyDescent="0.25">
      <c r="A99" s="33" t="s">
        <v>34</v>
      </c>
      <c r="B99" s="9" t="s">
        <v>88</v>
      </c>
      <c r="C99" s="24">
        <v>0.95454545454545459</v>
      </c>
      <c r="D99" s="24">
        <v>0.971830985915493</v>
      </c>
      <c r="E99" s="24">
        <v>1.4492753623188406E-2</v>
      </c>
      <c r="F99" s="24">
        <v>4.5454545454545456E-2</v>
      </c>
      <c r="G99" s="9">
        <f>_xlfn.XLOOKUP(A99,Employee_Master!A:A,Employee_Master!F:F)</f>
        <v>45880</v>
      </c>
      <c r="H99" s="29">
        <v>0</v>
      </c>
      <c r="I99" s="23" t="s">
        <v>156</v>
      </c>
      <c r="J99" s="34" t="str">
        <f>_xlfn.XLOOKUP(A99,Employee_Master!A:A,Employee_Master!C:C)</f>
        <v>Sales</v>
      </c>
      <c r="K99" s="48"/>
      <c r="L99" s="48"/>
      <c r="M99" s="48"/>
      <c r="N99" s="48"/>
      <c r="O99" s="48"/>
      <c r="P99" s="48"/>
      <c r="Q99" s="48"/>
      <c r="R99"/>
    </row>
    <row r="100" spans="1:18" x14ac:dyDescent="0.25">
      <c r="A100" s="33" t="s">
        <v>48</v>
      </c>
      <c r="B100" s="9" t="s">
        <v>84</v>
      </c>
      <c r="C100" s="24">
        <v>0.72727272727272729</v>
      </c>
      <c r="D100" s="24">
        <v>0.971830985915493</v>
      </c>
      <c r="E100" s="24">
        <v>4.3478260869565216E-2</v>
      </c>
      <c r="F100" s="24">
        <v>0.27272727272727271</v>
      </c>
      <c r="G100" s="9">
        <f>_xlfn.XLOOKUP(A100,Employee_Master!A:A,Employee_Master!F:F)</f>
        <v>75277</v>
      </c>
      <c r="H100" s="29">
        <v>0</v>
      </c>
      <c r="I100" s="23" t="s">
        <v>155</v>
      </c>
      <c r="J100" s="34" t="str">
        <f>_xlfn.XLOOKUP(A100,Employee_Master!A:A,Employee_Master!C:C)</f>
        <v>HR</v>
      </c>
      <c r="K100" s="48"/>
      <c r="L100" s="48"/>
      <c r="M100" s="48"/>
      <c r="N100" s="48"/>
      <c r="O100" s="48"/>
      <c r="P100" s="48"/>
      <c r="Q100" s="48"/>
      <c r="R100"/>
    </row>
    <row r="101" spans="1:18" x14ac:dyDescent="0.25">
      <c r="A101" s="33" t="s">
        <v>69</v>
      </c>
      <c r="B101" s="9" t="s">
        <v>85</v>
      </c>
      <c r="C101" s="24">
        <v>0.81818181818181823</v>
      </c>
      <c r="D101" s="24">
        <v>0.97142857142857142</v>
      </c>
      <c r="E101" s="24">
        <v>2.9411764705882349E-2</v>
      </c>
      <c r="F101" s="24">
        <v>0.18181818181818182</v>
      </c>
      <c r="G101" s="9">
        <f>_xlfn.XLOOKUP(A101,Employee_Master!A:A,Employee_Master!F:F)</f>
        <v>40435</v>
      </c>
      <c r="H101" s="29">
        <v>0</v>
      </c>
      <c r="I101" s="23" t="s">
        <v>155</v>
      </c>
      <c r="J101" s="34" t="str">
        <f>_xlfn.XLOOKUP(A101,Employee_Master!A:A,Employee_Master!C:C)</f>
        <v>Sales</v>
      </c>
      <c r="K101" s="48"/>
      <c r="L101" s="48"/>
      <c r="M101" s="48"/>
      <c r="N101" s="48"/>
      <c r="O101" s="48"/>
      <c r="P101" s="48"/>
      <c r="Q101" s="48"/>
      <c r="R101"/>
    </row>
    <row r="102" spans="1:18" x14ac:dyDescent="0.25">
      <c r="A102" s="33" t="s">
        <v>36</v>
      </c>
      <c r="B102" s="9" t="s">
        <v>84</v>
      </c>
      <c r="C102" s="24">
        <v>0.81818181818181823</v>
      </c>
      <c r="D102" s="24">
        <v>0.97058823529411764</v>
      </c>
      <c r="E102" s="24">
        <v>0.12121212121212122</v>
      </c>
      <c r="F102" s="24">
        <v>0.18181818181818182</v>
      </c>
      <c r="G102" s="9">
        <f>_xlfn.XLOOKUP(A102,Employee_Master!A:A,Employee_Master!F:F)</f>
        <v>42493</v>
      </c>
      <c r="H102" s="29">
        <v>0</v>
      </c>
      <c r="I102" s="23" t="s">
        <v>155</v>
      </c>
      <c r="J102" s="34" t="str">
        <f>_xlfn.XLOOKUP(A102,Employee_Master!A:A,Employee_Master!C:C)</f>
        <v>IT</v>
      </c>
      <c r="K102" s="48"/>
      <c r="L102" s="48"/>
      <c r="M102" s="48"/>
      <c r="N102" s="48"/>
      <c r="O102" s="48"/>
      <c r="P102" s="48"/>
      <c r="Q102" s="48"/>
      <c r="R102"/>
    </row>
    <row r="103" spans="1:18" hidden="1" x14ac:dyDescent="0.25">
      <c r="A103" s="33" t="s">
        <v>52</v>
      </c>
      <c r="B103" s="9" t="s">
        <v>86</v>
      </c>
      <c r="C103" s="24">
        <v>0.95454545454545459</v>
      </c>
      <c r="D103" s="24">
        <v>0.97014925373134331</v>
      </c>
      <c r="E103" s="24">
        <v>4.6153846153846156E-2</v>
      </c>
      <c r="F103" s="24">
        <v>4.5454545454545456E-2</v>
      </c>
      <c r="G103" s="9">
        <f>_xlfn.XLOOKUP(A103,Employee_Master!A:A,Employee_Master!F:F)</f>
        <v>65366</v>
      </c>
      <c r="H103" s="29">
        <v>0</v>
      </c>
      <c r="I103" s="23" t="s">
        <v>156</v>
      </c>
      <c r="J103" s="34" t="str">
        <f>_xlfn.XLOOKUP(A103,Employee_Master!A:A,Employee_Master!C:C)</f>
        <v>Finance</v>
      </c>
      <c r="K103" s="48"/>
      <c r="L103" s="48"/>
      <c r="M103" s="48"/>
      <c r="N103" s="48"/>
      <c r="O103" s="48"/>
      <c r="P103" s="48"/>
      <c r="Q103" s="48"/>
      <c r="R103"/>
    </row>
    <row r="104" spans="1:18" x14ac:dyDescent="0.25">
      <c r="A104" s="33" t="s">
        <v>43</v>
      </c>
      <c r="B104" s="9" t="s">
        <v>87</v>
      </c>
      <c r="C104" s="24">
        <v>0.90909090909090906</v>
      </c>
      <c r="D104" s="24">
        <v>0.96969696969696972</v>
      </c>
      <c r="E104" s="24">
        <v>3.125E-2</v>
      </c>
      <c r="F104" s="24">
        <v>9.0909090909090912E-2</v>
      </c>
      <c r="G104" s="9">
        <f>_xlfn.XLOOKUP(A104,Employee_Master!A:A,Employee_Master!F:F)</f>
        <v>59857</v>
      </c>
      <c r="H104" s="29">
        <v>0</v>
      </c>
      <c r="I104" s="23" t="s">
        <v>157</v>
      </c>
      <c r="J104" s="34" t="str">
        <f>_xlfn.XLOOKUP(A104,Employee_Master!A:A,Employee_Master!C:C)</f>
        <v>Finance</v>
      </c>
      <c r="K104" s="48"/>
      <c r="L104" s="48"/>
      <c r="M104" s="48"/>
      <c r="N104" s="48"/>
      <c r="O104" s="48"/>
      <c r="P104" s="48"/>
      <c r="Q104" s="48"/>
      <c r="R104"/>
    </row>
    <row r="105" spans="1:18" x14ac:dyDescent="0.25">
      <c r="A105" s="33" t="s">
        <v>68</v>
      </c>
      <c r="B105" s="9" t="s">
        <v>84</v>
      </c>
      <c r="C105" s="24">
        <v>0.72727272727272729</v>
      </c>
      <c r="D105" s="24">
        <v>0.96969696969696972</v>
      </c>
      <c r="E105" s="24">
        <v>6.25E-2</v>
      </c>
      <c r="F105" s="24">
        <v>0.27272727272727271</v>
      </c>
      <c r="G105" s="9">
        <f>_xlfn.XLOOKUP(A105,Employee_Master!A:A,Employee_Master!F:F)</f>
        <v>62782</v>
      </c>
      <c r="H105" s="29">
        <v>0</v>
      </c>
      <c r="I105" s="23" t="s">
        <v>155</v>
      </c>
      <c r="J105" s="34" t="str">
        <f>_xlfn.XLOOKUP(A105,Employee_Master!A:A,Employee_Master!C:C)</f>
        <v>Sales</v>
      </c>
      <c r="K105" s="48"/>
      <c r="L105" s="48"/>
      <c r="M105" s="48"/>
      <c r="N105" s="48"/>
      <c r="O105" s="48"/>
      <c r="P105" s="48"/>
      <c r="Q105" s="48"/>
      <c r="R105"/>
    </row>
    <row r="106" spans="1:18" hidden="1" x14ac:dyDescent="0.25">
      <c r="A106" s="33" t="s">
        <v>51</v>
      </c>
      <c r="B106" s="9" t="s">
        <v>86</v>
      </c>
      <c r="C106" s="24">
        <v>1</v>
      </c>
      <c r="D106" s="24">
        <v>0.96923076923076923</v>
      </c>
      <c r="E106" s="24">
        <v>7.9365079365079361E-2</v>
      </c>
      <c r="F106" s="24">
        <v>0</v>
      </c>
      <c r="G106" s="9">
        <f>_xlfn.XLOOKUP(A106,Employee_Master!A:A,Employee_Master!F:F)</f>
        <v>52195</v>
      </c>
      <c r="H106" s="29">
        <v>0</v>
      </c>
      <c r="I106" s="23" t="s">
        <v>156</v>
      </c>
      <c r="J106" s="34" t="str">
        <f>_xlfn.XLOOKUP(A106,Employee_Master!A:A,Employee_Master!C:C)</f>
        <v>HR</v>
      </c>
      <c r="K106" s="48"/>
      <c r="L106" s="48"/>
      <c r="M106" s="48"/>
      <c r="N106" s="48"/>
      <c r="O106" s="48"/>
      <c r="P106" s="48"/>
      <c r="Q106" s="48"/>
      <c r="R106"/>
    </row>
    <row r="107" spans="1:18" x14ac:dyDescent="0.25">
      <c r="A107" s="33" t="s">
        <v>27</v>
      </c>
      <c r="B107" s="9" t="s">
        <v>83</v>
      </c>
      <c r="C107" s="24">
        <v>0.77272727272727271</v>
      </c>
      <c r="D107" s="24">
        <v>0.96875</v>
      </c>
      <c r="E107" s="24">
        <v>3.2258064516129031E-2</v>
      </c>
      <c r="F107" s="24">
        <v>0.22727272727272727</v>
      </c>
      <c r="G107" s="9">
        <f>_xlfn.XLOOKUP(A107,Employee_Master!A:A,Employee_Master!F:F)</f>
        <v>37736</v>
      </c>
      <c r="H107" s="29">
        <v>0</v>
      </c>
      <c r="I107" s="23" t="s">
        <v>155</v>
      </c>
      <c r="J107" s="34" t="str">
        <f>_xlfn.XLOOKUP(A107,Employee_Master!A:A,Employee_Master!C:C)</f>
        <v>Finance</v>
      </c>
      <c r="K107" s="48"/>
      <c r="L107" s="48"/>
      <c r="M107" s="48"/>
      <c r="N107" s="48"/>
      <c r="O107" s="48"/>
      <c r="P107" s="48"/>
      <c r="Q107" s="48"/>
      <c r="R107"/>
    </row>
    <row r="108" spans="1:18" x14ac:dyDescent="0.25">
      <c r="A108" s="33" t="s">
        <v>53</v>
      </c>
      <c r="B108" s="9" t="s">
        <v>83</v>
      </c>
      <c r="C108" s="24">
        <v>1</v>
      </c>
      <c r="D108" s="24">
        <v>0.96875</v>
      </c>
      <c r="E108" s="24">
        <v>0.12903225806451613</v>
      </c>
      <c r="F108" s="24">
        <v>0</v>
      </c>
      <c r="G108" s="9">
        <f>_xlfn.XLOOKUP(A108,Employee_Master!A:A,Employee_Master!F:F)</f>
        <v>71628</v>
      </c>
      <c r="H108" s="29">
        <v>0</v>
      </c>
      <c r="I108" s="23" t="s">
        <v>157</v>
      </c>
      <c r="J108" s="34" t="str">
        <f>_xlfn.XLOOKUP(A108,Employee_Master!A:A,Employee_Master!C:C)</f>
        <v>Finance</v>
      </c>
      <c r="K108" s="48"/>
      <c r="L108" s="48"/>
      <c r="M108" s="48"/>
      <c r="N108" s="48"/>
      <c r="O108" s="48"/>
      <c r="P108" s="48"/>
      <c r="Q108" s="48"/>
      <c r="R108"/>
    </row>
    <row r="109" spans="1:18" x14ac:dyDescent="0.25">
      <c r="A109" s="33" t="s">
        <v>70</v>
      </c>
      <c r="B109" s="9" t="s">
        <v>83</v>
      </c>
      <c r="C109" s="24">
        <v>0.77272727272727271</v>
      </c>
      <c r="D109" s="24">
        <v>0.96825396825396826</v>
      </c>
      <c r="E109" s="24">
        <v>4.9180327868852458E-2</v>
      </c>
      <c r="F109" s="24">
        <v>0.22727272727272727</v>
      </c>
      <c r="G109" s="9">
        <f>_xlfn.XLOOKUP(A109,Employee_Master!A:A,Employee_Master!F:F)</f>
        <v>58061</v>
      </c>
      <c r="H109" s="29">
        <v>0</v>
      </c>
      <c r="I109" s="23" t="s">
        <v>155</v>
      </c>
      <c r="J109" s="34" t="str">
        <f>_xlfn.XLOOKUP(A109,Employee_Master!A:A,Employee_Master!C:C)</f>
        <v>IT</v>
      </c>
      <c r="K109" s="48"/>
      <c r="L109" s="48"/>
      <c r="M109" s="48"/>
      <c r="N109" s="48"/>
      <c r="O109" s="48"/>
      <c r="P109" s="48"/>
      <c r="Q109" s="48"/>
      <c r="R109"/>
    </row>
    <row r="110" spans="1:18" hidden="1" x14ac:dyDescent="0.25">
      <c r="A110" s="33" t="s">
        <v>59</v>
      </c>
      <c r="B110" s="9" t="s">
        <v>86</v>
      </c>
      <c r="C110" s="24">
        <v>0.95454545454545459</v>
      </c>
      <c r="D110" s="24">
        <v>0.967741935483871</v>
      </c>
      <c r="E110" s="24">
        <v>0</v>
      </c>
      <c r="F110" s="24">
        <v>4.5454545454545456E-2</v>
      </c>
      <c r="G110" s="9">
        <f>_xlfn.XLOOKUP(A110,Employee_Master!A:A,Employee_Master!F:F)</f>
        <v>52765</v>
      </c>
      <c r="H110" s="29">
        <v>0</v>
      </c>
      <c r="I110" s="23" t="s">
        <v>156</v>
      </c>
      <c r="J110" s="34" t="str">
        <f>_xlfn.XLOOKUP(A110,Employee_Master!A:A,Employee_Master!C:C)</f>
        <v>IT</v>
      </c>
      <c r="K110" s="48"/>
      <c r="L110" s="48"/>
      <c r="M110" s="48"/>
      <c r="N110" s="48"/>
      <c r="O110" s="48"/>
      <c r="P110" s="48"/>
      <c r="Q110" s="48"/>
      <c r="R110"/>
    </row>
    <row r="111" spans="1:18" x14ac:dyDescent="0.25">
      <c r="A111" s="33" t="s">
        <v>75</v>
      </c>
      <c r="B111" s="9" t="s">
        <v>86</v>
      </c>
      <c r="C111" s="24">
        <v>0.72727272727272729</v>
      </c>
      <c r="D111" s="24">
        <v>0.967741935483871</v>
      </c>
      <c r="E111" s="24">
        <v>6.6666666666666666E-2</v>
      </c>
      <c r="F111" s="24">
        <v>0.27272727272727271</v>
      </c>
      <c r="G111" s="9">
        <f>_xlfn.XLOOKUP(A111,Employee_Master!A:A,Employee_Master!F:F)</f>
        <v>82692</v>
      </c>
      <c r="H111" s="29">
        <v>0</v>
      </c>
      <c r="I111" s="23" t="s">
        <v>155</v>
      </c>
      <c r="J111" s="34" t="str">
        <f>_xlfn.XLOOKUP(A111,Employee_Master!A:A,Employee_Master!C:C)</f>
        <v>IT</v>
      </c>
      <c r="K111" s="48"/>
      <c r="L111" s="48"/>
      <c r="M111" s="48"/>
      <c r="N111" s="48"/>
      <c r="O111" s="48"/>
      <c r="P111" s="48"/>
      <c r="Q111" s="48"/>
      <c r="R111"/>
    </row>
    <row r="112" spans="1:18" hidden="1" x14ac:dyDescent="0.25">
      <c r="A112" s="33" t="s">
        <v>22</v>
      </c>
      <c r="B112" s="9" t="s">
        <v>87</v>
      </c>
      <c r="C112" s="24">
        <v>1</v>
      </c>
      <c r="D112" s="24">
        <v>0.96551724137931028</v>
      </c>
      <c r="E112" s="24">
        <v>8.9285714285714288E-2</v>
      </c>
      <c r="F112" s="24">
        <v>0</v>
      </c>
      <c r="G112" s="9">
        <f>_xlfn.XLOOKUP(A112,Employee_Master!A:A,Employee_Master!F:F)</f>
        <v>38396</v>
      </c>
      <c r="H112" s="29">
        <v>0</v>
      </c>
      <c r="I112" s="23" t="s">
        <v>156</v>
      </c>
      <c r="J112" s="34" t="str">
        <f>_xlfn.XLOOKUP(A112,Employee_Master!A:A,Employee_Master!C:C)</f>
        <v>IT</v>
      </c>
      <c r="K112" s="48"/>
      <c r="L112" s="48"/>
      <c r="M112" s="48"/>
      <c r="N112" s="48"/>
      <c r="O112" s="48"/>
      <c r="P112" s="48"/>
      <c r="Q112" s="48"/>
      <c r="R112"/>
    </row>
    <row r="113" spans="1:18" hidden="1" x14ac:dyDescent="0.25">
      <c r="A113" s="33" t="s">
        <v>63</v>
      </c>
      <c r="B113" s="9" t="s">
        <v>85</v>
      </c>
      <c r="C113" s="24">
        <v>1</v>
      </c>
      <c r="D113" s="24">
        <v>0.9642857142857143</v>
      </c>
      <c r="E113" s="24">
        <v>3.7037037037037035E-2</v>
      </c>
      <c r="F113" s="24">
        <v>0</v>
      </c>
      <c r="G113" s="9">
        <f>_xlfn.XLOOKUP(A113,Employee_Master!A:A,Employee_Master!F:F)</f>
        <v>86706</v>
      </c>
      <c r="H113" s="29">
        <v>0</v>
      </c>
      <c r="I113" s="23" t="s">
        <v>156</v>
      </c>
      <c r="J113" s="34" t="str">
        <f>_xlfn.XLOOKUP(A113,Employee_Master!A:A,Employee_Master!C:C)</f>
        <v>HR</v>
      </c>
      <c r="K113" s="48"/>
      <c r="L113" s="48"/>
      <c r="M113" s="48"/>
      <c r="N113" s="48"/>
      <c r="O113" s="48"/>
      <c r="P113" s="48"/>
      <c r="Q113" s="48"/>
      <c r="R113"/>
    </row>
    <row r="114" spans="1:18" hidden="1" x14ac:dyDescent="0.25">
      <c r="A114" s="33" t="s">
        <v>69</v>
      </c>
      <c r="B114" s="9" t="s">
        <v>83</v>
      </c>
      <c r="C114" s="24">
        <v>0.95454545454545459</v>
      </c>
      <c r="D114" s="24">
        <v>0.9642857142857143</v>
      </c>
      <c r="E114" s="24">
        <v>0</v>
      </c>
      <c r="F114" s="24">
        <v>4.5454545454545456E-2</v>
      </c>
      <c r="G114" s="9">
        <f>_xlfn.XLOOKUP(A114,Employee_Master!A:A,Employee_Master!F:F)</f>
        <v>40435</v>
      </c>
      <c r="H114" s="29">
        <v>0</v>
      </c>
      <c r="I114" s="23" t="s">
        <v>156</v>
      </c>
      <c r="J114" s="34" t="str">
        <f>_xlfn.XLOOKUP(A114,Employee_Master!A:A,Employee_Master!C:C)</f>
        <v>Sales</v>
      </c>
      <c r="K114" s="48"/>
      <c r="L114" s="48"/>
      <c r="M114" s="48"/>
      <c r="N114" s="48"/>
      <c r="O114" s="48"/>
      <c r="P114" s="48"/>
      <c r="Q114" s="48"/>
      <c r="R114"/>
    </row>
    <row r="115" spans="1:18" hidden="1" x14ac:dyDescent="0.25">
      <c r="A115" s="33" t="s">
        <v>26</v>
      </c>
      <c r="B115" s="9" t="s">
        <v>84</v>
      </c>
      <c r="C115" s="24">
        <v>0.95454545454545459</v>
      </c>
      <c r="D115" s="24">
        <v>0.96385542168674698</v>
      </c>
      <c r="E115" s="24">
        <v>0</v>
      </c>
      <c r="F115" s="24">
        <v>4.5454545454545456E-2</v>
      </c>
      <c r="G115" s="9">
        <f>_xlfn.XLOOKUP(A115,Employee_Master!A:A,Employee_Master!F:F)</f>
        <v>42012</v>
      </c>
      <c r="H115" s="29">
        <v>0</v>
      </c>
      <c r="I115" s="23" t="s">
        <v>156</v>
      </c>
      <c r="J115" s="34" t="str">
        <f>_xlfn.XLOOKUP(A115,Employee_Master!A:A,Employee_Master!C:C)</f>
        <v>Sales</v>
      </c>
      <c r="K115" s="48"/>
      <c r="L115" s="48"/>
      <c r="M115" s="48"/>
      <c r="N115" s="48"/>
      <c r="O115" s="48"/>
      <c r="P115" s="48"/>
      <c r="Q115" s="48"/>
      <c r="R115"/>
    </row>
    <row r="116" spans="1:18" x14ac:dyDescent="0.25">
      <c r="A116" s="33" t="s">
        <v>78</v>
      </c>
      <c r="B116" s="9" t="s">
        <v>83</v>
      </c>
      <c r="C116" s="24">
        <v>0.77272727272727271</v>
      </c>
      <c r="D116" s="24">
        <v>0.96385542168674698</v>
      </c>
      <c r="E116" s="24">
        <v>6.25E-2</v>
      </c>
      <c r="F116" s="24">
        <v>0.22727272727272727</v>
      </c>
      <c r="G116" s="9">
        <f>_xlfn.XLOOKUP(A116,Employee_Master!A:A,Employee_Master!F:F)</f>
        <v>36280</v>
      </c>
      <c r="H116" s="29">
        <v>0</v>
      </c>
      <c r="I116" s="23" t="s">
        <v>155</v>
      </c>
      <c r="J116" s="34" t="str">
        <f>_xlfn.XLOOKUP(A116,Employee_Master!A:A,Employee_Master!C:C)</f>
        <v>HR</v>
      </c>
      <c r="K116" s="48"/>
      <c r="L116" s="48"/>
      <c r="M116" s="48"/>
      <c r="N116" s="48"/>
      <c r="O116" s="48"/>
      <c r="P116" s="48"/>
      <c r="Q116" s="48"/>
      <c r="R116"/>
    </row>
    <row r="117" spans="1:18" hidden="1" x14ac:dyDescent="0.25">
      <c r="A117" s="33" t="s">
        <v>47</v>
      </c>
      <c r="B117" s="9" t="s">
        <v>84</v>
      </c>
      <c r="C117" s="24">
        <v>0.95454545454545459</v>
      </c>
      <c r="D117" s="24">
        <v>0.96363636363636362</v>
      </c>
      <c r="E117" s="24">
        <v>7.5471698113207544E-2</v>
      </c>
      <c r="F117" s="24">
        <v>4.5454545454545456E-2</v>
      </c>
      <c r="G117" s="9">
        <f>_xlfn.XLOOKUP(A117,Employee_Master!A:A,Employee_Master!F:F)</f>
        <v>84504</v>
      </c>
      <c r="H117" s="29">
        <v>0</v>
      </c>
      <c r="I117" s="23" t="s">
        <v>156</v>
      </c>
      <c r="J117" s="34" t="str">
        <f>_xlfn.XLOOKUP(A117,Employee_Master!A:A,Employee_Master!C:C)</f>
        <v>Finance</v>
      </c>
      <c r="K117" s="48"/>
      <c r="L117" s="48"/>
      <c r="M117" s="48"/>
      <c r="N117" s="48"/>
      <c r="O117" s="48"/>
      <c r="P117" s="48"/>
      <c r="Q117" s="48"/>
      <c r="R117"/>
    </row>
    <row r="118" spans="1:18" x14ac:dyDescent="0.25">
      <c r="A118" s="33" t="s">
        <v>50</v>
      </c>
      <c r="B118" s="9" t="s">
        <v>85</v>
      </c>
      <c r="C118" s="24">
        <v>0.86363636363636365</v>
      </c>
      <c r="D118" s="24">
        <v>0.96363636363636362</v>
      </c>
      <c r="E118" s="24">
        <v>9.4339622641509441E-2</v>
      </c>
      <c r="F118" s="24">
        <v>0.13636363636363635</v>
      </c>
      <c r="G118" s="9">
        <f>_xlfn.XLOOKUP(A118,Employee_Master!A:A,Employee_Master!F:F)</f>
        <v>68844</v>
      </c>
      <c r="H118" s="29">
        <v>0</v>
      </c>
      <c r="I118" s="23" t="s">
        <v>155</v>
      </c>
      <c r="J118" s="34" t="str">
        <f>_xlfn.XLOOKUP(A118,Employee_Master!A:A,Employee_Master!C:C)</f>
        <v>HR</v>
      </c>
      <c r="K118" s="48"/>
      <c r="L118" s="48"/>
      <c r="M118" s="48"/>
      <c r="N118" s="48"/>
      <c r="O118" s="48"/>
      <c r="P118" s="48"/>
      <c r="Q118" s="48"/>
      <c r="R118"/>
    </row>
    <row r="119" spans="1:18" x14ac:dyDescent="0.25">
      <c r="A119" s="33" t="s">
        <v>68</v>
      </c>
      <c r="B119" s="9" t="s">
        <v>87</v>
      </c>
      <c r="C119" s="24">
        <v>0.72727272727272729</v>
      </c>
      <c r="D119" s="24">
        <v>0.96296296296296291</v>
      </c>
      <c r="E119" s="24">
        <v>1.9230769230769232E-2</v>
      </c>
      <c r="F119" s="24">
        <v>0.27272727272727271</v>
      </c>
      <c r="G119" s="9">
        <f>_xlfn.XLOOKUP(A119,Employee_Master!A:A,Employee_Master!F:F)</f>
        <v>62782</v>
      </c>
      <c r="H119" s="29">
        <v>0</v>
      </c>
      <c r="I119" s="23" t="s">
        <v>155</v>
      </c>
      <c r="J119" s="34" t="str">
        <f>_xlfn.XLOOKUP(A119,Employee_Master!A:A,Employee_Master!C:C)</f>
        <v>Sales</v>
      </c>
      <c r="K119" s="48"/>
      <c r="L119" s="48"/>
      <c r="M119" s="48"/>
      <c r="N119" s="48"/>
      <c r="O119" s="48"/>
      <c r="P119" s="48"/>
      <c r="Q119" s="48"/>
      <c r="R119"/>
    </row>
    <row r="120" spans="1:18" hidden="1" x14ac:dyDescent="0.25">
      <c r="A120" s="33" t="s">
        <v>63</v>
      </c>
      <c r="B120" s="9" t="s">
        <v>84</v>
      </c>
      <c r="C120" s="24">
        <v>0.95454545454545459</v>
      </c>
      <c r="D120" s="24">
        <v>0.96226415094339623</v>
      </c>
      <c r="E120" s="24">
        <v>7.8431372549019607E-2</v>
      </c>
      <c r="F120" s="24">
        <v>4.5454545454545456E-2</v>
      </c>
      <c r="G120" s="9">
        <f>_xlfn.XLOOKUP(A120,Employee_Master!A:A,Employee_Master!F:F)</f>
        <v>86706</v>
      </c>
      <c r="H120" s="29">
        <v>0</v>
      </c>
      <c r="I120" s="23" t="s">
        <v>156</v>
      </c>
      <c r="J120" s="34" t="str">
        <f>_xlfn.XLOOKUP(A120,Employee_Master!A:A,Employee_Master!C:C)</f>
        <v>HR</v>
      </c>
      <c r="K120" s="48"/>
      <c r="L120" s="48"/>
      <c r="M120" s="48"/>
      <c r="N120" s="48"/>
      <c r="O120" s="48"/>
      <c r="P120" s="48"/>
      <c r="Q120" s="48"/>
      <c r="R120"/>
    </row>
    <row r="121" spans="1:18" x14ac:dyDescent="0.25">
      <c r="A121" s="33" t="s">
        <v>65</v>
      </c>
      <c r="B121" s="9" t="s">
        <v>84</v>
      </c>
      <c r="C121" s="24">
        <v>0.77272727272727271</v>
      </c>
      <c r="D121" s="24">
        <v>0.96153846153846156</v>
      </c>
      <c r="E121" s="24">
        <v>0.08</v>
      </c>
      <c r="F121" s="24">
        <v>0.22727272727272727</v>
      </c>
      <c r="G121" s="9">
        <f>_xlfn.XLOOKUP(A121,Employee_Master!A:A,Employee_Master!F:F)</f>
        <v>36399</v>
      </c>
      <c r="H121" s="29">
        <v>0</v>
      </c>
      <c r="I121" s="23" t="s">
        <v>155</v>
      </c>
      <c r="J121" s="34" t="str">
        <f>_xlfn.XLOOKUP(A121,Employee_Master!A:A,Employee_Master!C:C)</f>
        <v>Finance</v>
      </c>
      <c r="K121" s="48"/>
      <c r="L121" s="48"/>
      <c r="M121" s="48"/>
      <c r="N121" s="48"/>
      <c r="O121" s="48"/>
      <c r="P121" s="48"/>
      <c r="Q121" s="48"/>
      <c r="R121"/>
    </row>
    <row r="122" spans="1:18" hidden="1" x14ac:dyDescent="0.25">
      <c r="A122" s="33" t="s">
        <v>68</v>
      </c>
      <c r="B122" s="9" t="s">
        <v>85</v>
      </c>
      <c r="C122" s="24">
        <v>1</v>
      </c>
      <c r="D122" s="24">
        <v>0.96153846153846156</v>
      </c>
      <c r="E122" s="24">
        <v>1.3333333333333334E-2</v>
      </c>
      <c r="F122" s="24">
        <v>0</v>
      </c>
      <c r="G122" s="9">
        <f>_xlfn.XLOOKUP(A122,Employee_Master!A:A,Employee_Master!F:F)</f>
        <v>62782</v>
      </c>
      <c r="H122" s="29">
        <v>0</v>
      </c>
      <c r="I122" s="23" t="s">
        <v>156</v>
      </c>
      <c r="J122" s="34" t="str">
        <f>_xlfn.XLOOKUP(A122,Employee_Master!A:A,Employee_Master!C:C)</f>
        <v>Sales</v>
      </c>
      <c r="K122" s="48"/>
      <c r="L122" s="48"/>
      <c r="M122" s="48"/>
      <c r="N122" s="48"/>
      <c r="O122" s="48"/>
      <c r="P122" s="48"/>
      <c r="Q122" s="48"/>
      <c r="R122"/>
    </row>
    <row r="123" spans="1:18" x14ac:dyDescent="0.25">
      <c r="A123" s="33" t="s">
        <v>71</v>
      </c>
      <c r="B123" s="9" t="s">
        <v>87</v>
      </c>
      <c r="C123" s="24">
        <v>0.90909090909090906</v>
      </c>
      <c r="D123" s="24">
        <v>0.96153846153846156</v>
      </c>
      <c r="E123" s="24">
        <v>0</v>
      </c>
      <c r="F123" s="24">
        <v>9.0909090909090912E-2</v>
      </c>
      <c r="G123" s="9">
        <f>_xlfn.XLOOKUP(A123,Employee_Master!A:A,Employee_Master!F:F)</f>
        <v>46149</v>
      </c>
      <c r="H123" s="29">
        <v>0</v>
      </c>
      <c r="I123" s="23" t="s">
        <v>157</v>
      </c>
      <c r="J123" s="34" t="str">
        <f>_xlfn.XLOOKUP(A123,Employee_Master!A:A,Employee_Master!C:C)</f>
        <v>IT</v>
      </c>
      <c r="K123" s="48"/>
      <c r="L123" s="48"/>
      <c r="M123" s="48"/>
      <c r="N123" s="48"/>
      <c r="O123" s="48"/>
      <c r="P123" s="48"/>
      <c r="Q123" s="48"/>
      <c r="R123"/>
    </row>
    <row r="124" spans="1:18" x14ac:dyDescent="0.25">
      <c r="A124" s="33" t="s">
        <v>72</v>
      </c>
      <c r="B124" s="9" t="s">
        <v>85</v>
      </c>
      <c r="C124" s="24">
        <v>0.77272727272727271</v>
      </c>
      <c r="D124" s="24">
        <v>0.96153846153846156</v>
      </c>
      <c r="E124" s="24">
        <v>1.3333333333333334E-2</v>
      </c>
      <c r="F124" s="24">
        <v>0.22727272727272727</v>
      </c>
      <c r="G124" s="9">
        <f>_xlfn.XLOOKUP(A124,Employee_Master!A:A,Employee_Master!F:F)</f>
        <v>77876</v>
      </c>
      <c r="H124" s="29">
        <v>0</v>
      </c>
      <c r="I124" s="23" t="s">
        <v>155</v>
      </c>
      <c r="J124" s="34" t="str">
        <f>_xlfn.XLOOKUP(A124,Employee_Master!A:A,Employee_Master!C:C)</f>
        <v>Sales</v>
      </c>
      <c r="K124" s="48"/>
      <c r="L124" s="48"/>
      <c r="M124" s="48"/>
      <c r="N124" s="48"/>
      <c r="O124" s="48"/>
      <c r="P124" s="48"/>
      <c r="Q124" s="48"/>
      <c r="R124"/>
    </row>
    <row r="125" spans="1:18" hidden="1" x14ac:dyDescent="0.25">
      <c r="A125" s="33" t="s">
        <v>50</v>
      </c>
      <c r="B125" s="9" t="s">
        <v>88</v>
      </c>
      <c r="C125" s="24">
        <v>1</v>
      </c>
      <c r="D125" s="24">
        <v>0.96</v>
      </c>
      <c r="E125" s="24">
        <v>6.25E-2</v>
      </c>
      <c r="F125" s="24">
        <v>0</v>
      </c>
      <c r="G125" s="9">
        <f>_xlfn.XLOOKUP(A125,Employee_Master!A:A,Employee_Master!F:F)</f>
        <v>68844</v>
      </c>
      <c r="H125" s="29">
        <v>0</v>
      </c>
      <c r="I125" s="23" t="s">
        <v>156</v>
      </c>
      <c r="J125" s="34" t="str">
        <f>_xlfn.XLOOKUP(A125,Employee_Master!A:A,Employee_Master!C:C)</f>
        <v>HR</v>
      </c>
      <c r="K125" s="48"/>
      <c r="L125" s="48"/>
      <c r="M125" s="48"/>
      <c r="N125" s="48"/>
      <c r="O125" s="48"/>
      <c r="P125" s="48"/>
      <c r="Q125" s="48"/>
      <c r="R125"/>
    </row>
    <row r="126" spans="1:18" x14ac:dyDescent="0.25">
      <c r="A126" s="33" t="s">
        <v>56</v>
      </c>
      <c r="B126" s="9" t="s">
        <v>87</v>
      </c>
      <c r="C126" s="24">
        <v>0.77272727272727271</v>
      </c>
      <c r="D126" s="24">
        <v>0.96</v>
      </c>
      <c r="E126" s="24">
        <v>0</v>
      </c>
      <c r="F126" s="24">
        <v>0.22727272727272727</v>
      </c>
      <c r="G126" s="9">
        <f>_xlfn.XLOOKUP(A126,Employee_Master!A:A,Employee_Master!F:F)</f>
        <v>89427</v>
      </c>
      <c r="H126" s="29">
        <v>0</v>
      </c>
      <c r="I126" s="23" t="s">
        <v>155</v>
      </c>
      <c r="J126" s="34" t="str">
        <f>_xlfn.XLOOKUP(A126,Employee_Master!A:A,Employee_Master!C:C)</f>
        <v>Sales</v>
      </c>
      <c r="K126" s="48"/>
      <c r="L126" s="48"/>
      <c r="M126" s="48"/>
      <c r="N126" s="48"/>
      <c r="O126" s="48"/>
      <c r="P126" s="48"/>
      <c r="Q126" s="48"/>
      <c r="R126"/>
    </row>
    <row r="127" spans="1:18" x14ac:dyDescent="0.25">
      <c r="A127" s="33" t="s">
        <v>77</v>
      </c>
      <c r="B127" s="9" t="s">
        <v>84</v>
      </c>
      <c r="C127" s="24">
        <v>0.90909090909090906</v>
      </c>
      <c r="D127" s="24">
        <v>0.96</v>
      </c>
      <c r="E127" s="24">
        <v>0.10416666666666669</v>
      </c>
      <c r="F127" s="24">
        <v>9.0909090909090912E-2</v>
      </c>
      <c r="G127" s="9">
        <f>_xlfn.XLOOKUP(A127,Employee_Master!A:A,Employee_Master!F:F)</f>
        <v>59133</v>
      </c>
      <c r="H127" s="29">
        <v>0</v>
      </c>
      <c r="I127" s="23" t="s">
        <v>157</v>
      </c>
      <c r="J127" s="34" t="str">
        <f>_xlfn.XLOOKUP(A127,Employee_Master!A:A,Employee_Master!C:C)</f>
        <v>HR</v>
      </c>
      <c r="K127" s="48"/>
      <c r="L127" s="48"/>
      <c r="M127" s="48"/>
      <c r="N127" s="48"/>
      <c r="O127" s="48"/>
      <c r="P127" s="48"/>
      <c r="Q127" s="48"/>
      <c r="R127"/>
    </row>
    <row r="128" spans="1:18" x14ac:dyDescent="0.25">
      <c r="A128" s="33" t="s">
        <v>32</v>
      </c>
      <c r="B128" s="9" t="s">
        <v>85</v>
      </c>
      <c r="C128" s="24">
        <v>0.81818181818181823</v>
      </c>
      <c r="D128" s="24">
        <v>0.95918367346938771</v>
      </c>
      <c r="E128" s="24">
        <v>0</v>
      </c>
      <c r="F128" s="24">
        <v>0.18181818181818182</v>
      </c>
      <c r="G128" s="9">
        <f>_xlfn.XLOOKUP(A128,Employee_Master!A:A,Employee_Master!F:F)</f>
        <v>80699</v>
      </c>
      <c r="H128" s="29">
        <v>0</v>
      </c>
      <c r="I128" s="23" t="s">
        <v>155</v>
      </c>
      <c r="J128" s="34" t="str">
        <f>_xlfn.XLOOKUP(A128,Employee_Master!A:A,Employee_Master!C:C)</f>
        <v>IT</v>
      </c>
      <c r="K128" s="48"/>
      <c r="L128" s="48"/>
      <c r="M128" s="48"/>
      <c r="N128" s="48"/>
      <c r="O128" s="48"/>
      <c r="P128" s="48"/>
      <c r="Q128" s="48"/>
      <c r="R128"/>
    </row>
    <row r="129" spans="1:18" x14ac:dyDescent="0.25">
      <c r="A129" s="33" t="s">
        <v>38</v>
      </c>
      <c r="B129" s="9" t="s">
        <v>88</v>
      </c>
      <c r="C129" s="24">
        <v>0.77272727272727271</v>
      </c>
      <c r="D129" s="24">
        <v>0.95774647887323938</v>
      </c>
      <c r="E129" s="24">
        <v>5.8823529411764698E-2</v>
      </c>
      <c r="F129" s="24">
        <v>0.22727272727272727</v>
      </c>
      <c r="G129" s="9">
        <f>_xlfn.XLOOKUP(A129,Employee_Master!A:A,Employee_Master!F:F)</f>
        <v>36447</v>
      </c>
      <c r="H129" s="29">
        <v>0</v>
      </c>
      <c r="I129" s="23" t="s">
        <v>155</v>
      </c>
      <c r="J129" s="34" t="str">
        <f>_xlfn.XLOOKUP(A129,Employee_Master!A:A,Employee_Master!C:C)</f>
        <v>IT</v>
      </c>
      <c r="K129" s="48"/>
      <c r="L129" s="48"/>
      <c r="M129" s="48"/>
      <c r="N129" s="48"/>
      <c r="O129" s="48"/>
      <c r="P129" s="48"/>
      <c r="Q129" s="48"/>
      <c r="R129"/>
    </row>
    <row r="130" spans="1:18" x14ac:dyDescent="0.25">
      <c r="A130" s="33" t="s">
        <v>59</v>
      </c>
      <c r="B130" s="9" t="s">
        <v>83</v>
      </c>
      <c r="C130" s="24">
        <v>0.81818181818181823</v>
      </c>
      <c r="D130" s="24">
        <v>0.95744680851063835</v>
      </c>
      <c r="E130" s="24">
        <v>0</v>
      </c>
      <c r="F130" s="24">
        <v>0.18181818181818182</v>
      </c>
      <c r="G130" s="9">
        <f>_xlfn.XLOOKUP(A130,Employee_Master!A:A,Employee_Master!F:F)</f>
        <v>52765</v>
      </c>
      <c r="H130" s="29">
        <v>0</v>
      </c>
      <c r="I130" s="23" t="s">
        <v>155</v>
      </c>
      <c r="J130" s="34" t="str">
        <f>_xlfn.XLOOKUP(A130,Employee_Master!A:A,Employee_Master!C:C)</f>
        <v>IT</v>
      </c>
      <c r="K130" s="48"/>
      <c r="L130" s="48"/>
      <c r="M130" s="48"/>
      <c r="N130" s="48"/>
      <c r="O130" s="48"/>
      <c r="P130" s="48"/>
      <c r="Q130" s="48"/>
      <c r="R130"/>
    </row>
    <row r="131" spans="1:18" x14ac:dyDescent="0.25">
      <c r="A131" s="33" t="s">
        <v>73</v>
      </c>
      <c r="B131" s="9" t="s">
        <v>88</v>
      </c>
      <c r="C131" s="24">
        <v>0.81818181818181823</v>
      </c>
      <c r="D131" s="24">
        <v>0.95714285714285718</v>
      </c>
      <c r="E131" s="24">
        <v>5.9701492537313425E-2</v>
      </c>
      <c r="F131" s="24">
        <v>0.18181818181818182</v>
      </c>
      <c r="G131" s="9">
        <f>_xlfn.XLOOKUP(A131,Employee_Master!A:A,Employee_Master!F:F)</f>
        <v>37548</v>
      </c>
      <c r="H131" s="29">
        <v>0</v>
      </c>
      <c r="I131" s="23" t="s">
        <v>155</v>
      </c>
      <c r="J131" s="34" t="str">
        <f>_xlfn.XLOOKUP(A131,Employee_Master!A:A,Employee_Master!C:C)</f>
        <v>Sales</v>
      </c>
      <c r="K131" s="48"/>
      <c r="L131" s="48"/>
      <c r="M131" s="48"/>
      <c r="N131" s="48"/>
      <c r="O131" s="48"/>
      <c r="P131" s="48"/>
      <c r="Q131" s="48"/>
      <c r="R131"/>
    </row>
    <row r="132" spans="1:18" x14ac:dyDescent="0.25">
      <c r="A132" s="33" t="s">
        <v>63</v>
      </c>
      <c r="B132" s="9" t="s">
        <v>88</v>
      </c>
      <c r="C132" s="24">
        <v>0.86363636363636365</v>
      </c>
      <c r="D132" s="24">
        <v>0.95652173913043481</v>
      </c>
      <c r="E132" s="24">
        <v>0</v>
      </c>
      <c r="F132" s="24">
        <v>0.13636363636363635</v>
      </c>
      <c r="G132" s="9">
        <f>_xlfn.XLOOKUP(A132,Employee_Master!A:A,Employee_Master!F:F)</f>
        <v>86706</v>
      </c>
      <c r="H132" s="29">
        <v>0</v>
      </c>
      <c r="I132" s="23" t="s">
        <v>155</v>
      </c>
      <c r="J132" s="34" t="str">
        <f>_xlfn.XLOOKUP(A132,Employee_Master!A:A,Employee_Master!C:C)</f>
        <v>HR</v>
      </c>
      <c r="K132" s="48"/>
      <c r="L132" s="48"/>
      <c r="M132" s="48"/>
      <c r="N132" s="48"/>
      <c r="O132" s="48"/>
      <c r="P132" s="48"/>
      <c r="Q132" s="48"/>
      <c r="R132"/>
    </row>
    <row r="133" spans="1:18" x14ac:dyDescent="0.25">
      <c r="A133" s="33" t="s">
        <v>70</v>
      </c>
      <c r="B133" s="9" t="s">
        <v>86</v>
      </c>
      <c r="C133" s="24">
        <v>0.72727272727272729</v>
      </c>
      <c r="D133" s="24">
        <v>0.95652173913043481</v>
      </c>
      <c r="E133" s="24">
        <v>6.0606060606060608E-2</v>
      </c>
      <c r="F133" s="24">
        <v>0.27272727272727271</v>
      </c>
      <c r="G133" s="9">
        <f>_xlfn.XLOOKUP(A133,Employee_Master!A:A,Employee_Master!F:F)</f>
        <v>58061</v>
      </c>
      <c r="H133" s="29">
        <v>0</v>
      </c>
      <c r="I133" s="23" t="s">
        <v>155</v>
      </c>
      <c r="J133" s="34" t="str">
        <f>_xlfn.XLOOKUP(A133,Employee_Master!A:A,Employee_Master!C:C)</f>
        <v>IT</v>
      </c>
      <c r="K133" s="48"/>
      <c r="L133" s="48"/>
      <c r="M133" s="48"/>
      <c r="N133" s="48"/>
      <c r="O133" s="48"/>
      <c r="P133" s="48"/>
      <c r="Q133" s="48"/>
      <c r="R133"/>
    </row>
    <row r="134" spans="1:18" x14ac:dyDescent="0.25">
      <c r="A134" s="33" t="s">
        <v>33</v>
      </c>
      <c r="B134" s="9" t="s">
        <v>84</v>
      </c>
      <c r="C134" s="24">
        <v>0.81818181818181823</v>
      </c>
      <c r="D134" s="24">
        <v>0.95588235294117652</v>
      </c>
      <c r="E134" s="24">
        <v>1.5384615384615385E-2</v>
      </c>
      <c r="F134" s="24">
        <v>0.18181818181818182</v>
      </c>
      <c r="G134" s="9">
        <f>_xlfn.XLOOKUP(A134,Employee_Master!A:A,Employee_Master!F:F)</f>
        <v>46257</v>
      </c>
      <c r="H134" s="29">
        <v>0</v>
      </c>
      <c r="I134" s="23" t="s">
        <v>155</v>
      </c>
      <c r="J134" s="34" t="str">
        <f>_xlfn.XLOOKUP(A134,Employee_Master!A:A,Employee_Master!C:C)</f>
        <v>HR</v>
      </c>
      <c r="K134" s="48"/>
      <c r="L134" s="48"/>
      <c r="M134" s="48"/>
      <c r="N134" s="48"/>
      <c r="O134" s="48"/>
      <c r="P134" s="48"/>
      <c r="Q134" s="48"/>
      <c r="R134"/>
    </row>
    <row r="135" spans="1:18" hidden="1" x14ac:dyDescent="0.25">
      <c r="A135" s="33" t="s">
        <v>34</v>
      </c>
      <c r="B135" s="9" t="s">
        <v>85</v>
      </c>
      <c r="C135" s="24">
        <v>0.95454545454545459</v>
      </c>
      <c r="D135" s="24">
        <v>0.9555555555555556</v>
      </c>
      <c r="E135" s="24">
        <v>6.9767441860465115E-2</v>
      </c>
      <c r="F135" s="24">
        <v>4.5454545454545456E-2</v>
      </c>
      <c r="G135" s="9">
        <f>_xlfn.XLOOKUP(A135,Employee_Master!A:A,Employee_Master!F:F)</f>
        <v>45880</v>
      </c>
      <c r="H135" s="29">
        <v>0</v>
      </c>
      <c r="I135" s="23" t="s">
        <v>156</v>
      </c>
      <c r="J135" s="34" t="str">
        <f>_xlfn.XLOOKUP(A135,Employee_Master!A:A,Employee_Master!C:C)</f>
        <v>Sales</v>
      </c>
      <c r="K135" s="48"/>
      <c r="L135" s="48"/>
      <c r="M135" s="48"/>
      <c r="N135" s="48"/>
      <c r="O135" s="48"/>
      <c r="P135" s="48"/>
      <c r="Q135" s="48"/>
      <c r="R135"/>
    </row>
    <row r="136" spans="1:18" x14ac:dyDescent="0.25">
      <c r="A136" s="33" t="s">
        <v>69</v>
      </c>
      <c r="B136" s="9" t="s">
        <v>88</v>
      </c>
      <c r="C136" s="24">
        <v>0.77272727272727271</v>
      </c>
      <c r="D136" s="24">
        <v>0.9552238805970148</v>
      </c>
      <c r="E136" s="24">
        <v>7.8125E-2</v>
      </c>
      <c r="F136" s="24">
        <v>0.22727272727272727</v>
      </c>
      <c r="G136" s="9">
        <f>_xlfn.XLOOKUP(A136,Employee_Master!A:A,Employee_Master!F:F)</f>
        <v>40435</v>
      </c>
      <c r="H136" s="29">
        <v>0</v>
      </c>
      <c r="I136" s="23" t="s">
        <v>155</v>
      </c>
      <c r="J136" s="34" t="str">
        <f>_xlfn.XLOOKUP(A136,Employee_Master!A:A,Employee_Master!C:C)</f>
        <v>Sales</v>
      </c>
      <c r="K136" s="48"/>
      <c r="L136" s="48"/>
      <c r="M136" s="48"/>
      <c r="N136" s="48"/>
      <c r="O136" s="48"/>
      <c r="P136" s="48"/>
      <c r="Q136" s="48"/>
      <c r="R136"/>
    </row>
    <row r="137" spans="1:18" x14ac:dyDescent="0.25">
      <c r="A137" s="33" t="s">
        <v>33</v>
      </c>
      <c r="B137" s="9" t="s">
        <v>88</v>
      </c>
      <c r="C137" s="24">
        <v>0.77272727272727271</v>
      </c>
      <c r="D137" s="24">
        <v>0.95454545454545459</v>
      </c>
      <c r="E137" s="24">
        <v>1.5873015873015872E-2</v>
      </c>
      <c r="F137" s="24">
        <v>0.22727272727272727</v>
      </c>
      <c r="G137" s="9">
        <f>_xlfn.XLOOKUP(A137,Employee_Master!A:A,Employee_Master!F:F)</f>
        <v>46257</v>
      </c>
      <c r="H137" s="29">
        <v>0</v>
      </c>
      <c r="I137" s="23" t="s">
        <v>155</v>
      </c>
      <c r="J137" s="34" t="str">
        <f>_xlfn.XLOOKUP(A137,Employee_Master!A:A,Employee_Master!C:C)</f>
        <v>HR</v>
      </c>
      <c r="K137" s="48"/>
      <c r="L137" s="48"/>
      <c r="M137" s="48"/>
      <c r="N137" s="48"/>
      <c r="O137" s="48"/>
      <c r="P137" s="48"/>
      <c r="Q137" s="48"/>
      <c r="R137"/>
    </row>
    <row r="138" spans="1:18" x14ac:dyDescent="0.25">
      <c r="A138" s="33" t="s">
        <v>47</v>
      </c>
      <c r="B138" s="9" t="s">
        <v>85</v>
      </c>
      <c r="C138" s="24">
        <v>0.81818181818181823</v>
      </c>
      <c r="D138" s="24">
        <v>0.95454545454545459</v>
      </c>
      <c r="E138" s="24">
        <v>6.3492063492063489E-2</v>
      </c>
      <c r="F138" s="24">
        <v>0.18181818181818182</v>
      </c>
      <c r="G138" s="9">
        <f>_xlfn.XLOOKUP(A138,Employee_Master!A:A,Employee_Master!F:F)</f>
        <v>84504</v>
      </c>
      <c r="H138" s="29">
        <v>0</v>
      </c>
      <c r="I138" s="23" t="s">
        <v>155</v>
      </c>
      <c r="J138" s="34" t="str">
        <f>_xlfn.XLOOKUP(A138,Employee_Master!A:A,Employee_Master!C:C)</f>
        <v>Finance</v>
      </c>
      <c r="K138" s="48"/>
      <c r="L138" s="48"/>
      <c r="M138" s="48"/>
      <c r="N138" s="48"/>
      <c r="O138" s="48"/>
      <c r="P138" s="48"/>
      <c r="Q138" s="48"/>
      <c r="R138"/>
    </row>
    <row r="139" spans="1:18" hidden="1" x14ac:dyDescent="0.25">
      <c r="A139" s="33" t="s">
        <v>67</v>
      </c>
      <c r="B139" s="9" t="s">
        <v>87</v>
      </c>
      <c r="C139" s="24">
        <v>1</v>
      </c>
      <c r="D139" s="24">
        <v>0.95454545454545459</v>
      </c>
      <c r="E139" s="24">
        <v>6.3492063492063489E-2</v>
      </c>
      <c r="F139" s="24">
        <v>0</v>
      </c>
      <c r="G139" s="9">
        <f>_xlfn.XLOOKUP(A139,Employee_Master!A:A,Employee_Master!F:F)</f>
        <v>57209</v>
      </c>
      <c r="H139" s="29">
        <v>0</v>
      </c>
      <c r="I139" s="23" t="s">
        <v>156</v>
      </c>
      <c r="J139" s="34" t="str">
        <f>_xlfn.XLOOKUP(A139,Employee_Master!A:A,Employee_Master!C:C)</f>
        <v>IT</v>
      </c>
      <c r="K139" s="48"/>
      <c r="L139" s="48"/>
      <c r="M139" s="48"/>
      <c r="N139" s="48"/>
      <c r="O139" s="48"/>
      <c r="P139" s="48"/>
      <c r="Q139" s="48"/>
      <c r="R139"/>
    </row>
    <row r="140" spans="1:18" x14ac:dyDescent="0.25">
      <c r="A140" s="33" t="s">
        <v>45</v>
      </c>
      <c r="B140" s="9" t="s">
        <v>87</v>
      </c>
      <c r="C140" s="24">
        <v>0.81818181818181823</v>
      </c>
      <c r="D140" s="24">
        <v>0.9538461538461539</v>
      </c>
      <c r="E140" s="24">
        <v>0</v>
      </c>
      <c r="F140" s="24">
        <v>0.18181818181818182</v>
      </c>
      <c r="G140" s="9">
        <f>_xlfn.XLOOKUP(A140,Employee_Master!A:A,Employee_Master!F:F)</f>
        <v>37716</v>
      </c>
      <c r="H140" s="29">
        <v>0</v>
      </c>
      <c r="I140" s="23" t="s">
        <v>155</v>
      </c>
      <c r="J140" s="34" t="str">
        <f>_xlfn.XLOOKUP(A140,Employee_Master!A:A,Employee_Master!C:C)</f>
        <v>IT</v>
      </c>
      <c r="K140" s="48"/>
      <c r="L140" s="48"/>
      <c r="M140" s="48"/>
      <c r="N140" s="48"/>
      <c r="O140" s="48"/>
      <c r="P140" s="48"/>
      <c r="Q140" s="48"/>
      <c r="R140"/>
    </row>
    <row r="141" spans="1:18" x14ac:dyDescent="0.25">
      <c r="A141" s="33" t="s">
        <v>67</v>
      </c>
      <c r="B141" s="9" t="s">
        <v>84</v>
      </c>
      <c r="C141" s="24">
        <v>0.72727272727272729</v>
      </c>
      <c r="D141" s="24">
        <v>0.9538461538461539</v>
      </c>
      <c r="E141" s="24">
        <v>4.8387096774193547E-2</v>
      </c>
      <c r="F141" s="24">
        <v>0.27272727272727271</v>
      </c>
      <c r="G141" s="9">
        <f>_xlfn.XLOOKUP(A141,Employee_Master!A:A,Employee_Master!F:F)</f>
        <v>57209</v>
      </c>
      <c r="H141" s="29">
        <v>0</v>
      </c>
      <c r="I141" s="23" t="s">
        <v>155</v>
      </c>
      <c r="J141" s="34" t="str">
        <f>_xlfn.XLOOKUP(A141,Employee_Master!A:A,Employee_Master!C:C)</f>
        <v>IT</v>
      </c>
      <c r="K141" s="48"/>
      <c r="L141" s="48"/>
      <c r="M141" s="48"/>
      <c r="N141" s="48"/>
      <c r="O141" s="48"/>
      <c r="P141" s="48"/>
      <c r="Q141" s="48"/>
      <c r="R141"/>
    </row>
    <row r="142" spans="1:18" x14ac:dyDescent="0.25">
      <c r="A142" s="33" t="s">
        <v>42</v>
      </c>
      <c r="B142" s="9" t="s">
        <v>88</v>
      </c>
      <c r="C142" s="24">
        <v>0.72727272727272729</v>
      </c>
      <c r="D142" s="24">
        <v>0.95348837209302328</v>
      </c>
      <c r="E142" s="24">
        <v>7.3170731707317069E-2</v>
      </c>
      <c r="F142" s="24">
        <v>0.27272727272727271</v>
      </c>
      <c r="G142" s="9">
        <f>_xlfn.XLOOKUP(A142,Employee_Master!A:A,Employee_Master!F:F)</f>
        <v>61034</v>
      </c>
      <c r="H142" s="29">
        <v>0</v>
      </c>
      <c r="I142" s="23" t="s">
        <v>155</v>
      </c>
      <c r="J142" s="34" t="str">
        <f>_xlfn.XLOOKUP(A142,Employee_Master!A:A,Employee_Master!C:C)</f>
        <v>Finance</v>
      </c>
      <c r="K142" s="48"/>
      <c r="L142" s="48"/>
      <c r="M142" s="48"/>
      <c r="N142" s="48"/>
      <c r="O142" s="48"/>
      <c r="P142" s="48"/>
      <c r="Q142" s="48"/>
      <c r="R142"/>
    </row>
    <row r="143" spans="1:18" hidden="1" x14ac:dyDescent="0.25">
      <c r="A143" s="33" t="s">
        <v>75</v>
      </c>
      <c r="B143" s="9" t="s">
        <v>84</v>
      </c>
      <c r="C143" s="24">
        <v>1</v>
      </c>
      <c r="D143" s="24">
        <v>0.953125</v>
      </c>
      <c r="E143" s="24">
        <v>0</v>
      </c>
      <c r="F143" s="24">
        <v>0</v>
      </c>
      <c r="G143" s="9">
        <f>_xlfn.XLOOKUP(A143,Employee_Master!A:A,Employee_Master!F:F)</f>
        <v>82692</v>
      </c>
      <c r="H143" s="29">
        <v>0</v>
      </c>
      <c r="I143" s="23" t="s">
        <v>156</v>
      </c>
      <c r="J143" s="34" t="str">
        <f>_xlfn.XLOOKUP(A143,Employee_Master!A:A,Employee_Master!C:C)</f>
        <v>IT</v>
      </c>
      <c r="K143" s="48"/>
      <c r="L143" s="48"/>
      <c r="M143" s="48"/>
      <c r="N143" s="48"/>
      <c r="O143" s="48"/>
      <c r="P143" s="48"/>
      <c r="Q143" s="48"/>
      <c r="R143"/>
    </row>
    <row r="144" spans="1:18" x14ac:dyDescent="0.25">
      <c r="A144" s="33" t="s">
        <v>40</v>
      </c>
      <c r="B144" s="9" t="s">
        <v>84</v>
      </c>
      <c r="C144" s="24">
        <v>0.81818181818181823</v>
      </c>
      <c r="D144" s="24">
        <v>0.95238095238095222</v>
      </c>
      <c r="E144" s="24">
        <v>0</v>
      </c>
      <c r="F144" s="24">
        <v>0.18181818181818182</v>
      </c>
      <c r="G144" s="9">
        <f>_xlfn.XLOOKUP(A144,Employee_Master!A:A,Employee_Master!F:F)</f>
        <v>41091</v>
      </c>
      <c r="H144" s="29">
        <v>0</v>
      </c>
      <c r="I144" s="23" t="s">
        <v>155</v>
      </c>
      <c r="J144" s="34" t="str">
        <f>_xlfn.XLOOKUP(A144,Employee_Master!A:A,Employee_Master!C:C)</f>
        <v>HR</v>
      </c>
      <c r="K144" s="48"/>
      <c r="L144" s="48"/>
      <c r="M144" s="48"/>
      <c r="N144" s="48"/>
      <c r="O144" s="48"/>
      <c r="P144" s="48"/>
      <c r="Q144" s="48"/>
      <c r="R144"/>
    </row>
    <row r="145" spans="1:18" hidden="1" x14ac:dyDescent="0.25">
      <c r="A145" s="33" t="s">
        <v>73</v>
      </c>
      <c r="B145" s="9" t="s">
        <v>86</v>
      </c>
      <c r="C145" s="24">
        <v>0.95454545454545459</v>
      </c>
      <c r="D145" s="24">
        <v>0.95180722891566261</v>
      </c>
      <c r="E145" s="24">
        <v>1.2658227848101267E-2</v>
      </c>
      <c r="F145" s="24">
        <v>4.5454545454545456E-2</v>
      </c>
      <c r="G145" s="9">
        <f>_xlfn.XLOOKUP(A145,Employee_Master!A:A,Employee_Master!F:F)</f>
        <v>37548</v>
      </c>
      <c r="H145" s="29">
        <v>0</v>
      </c>
      <c r="I145" s="23" t="s">
        <v>156</v>
      </c>
      <c r="J145" s="34" t="str">
        <f>_xlfn.XLOOKUP(A145,Employee_Master!A:A,Employee_Master!C:C)</f>
        <v>Sales</v>
      </c>
      <c r="K145" s="48"/>
      <c r="L145" s="48"/>
      <c r="M145" s="48"/>
      <c r="N145" s="48"/>
      <c r="O145" s="48"/>
      <c r="P145" s="48"/>
      <c r="Q145" s="48"/>
      <c r="R145"/>
    </row>
    <row r="146" spans="1:18" x14ac:dyDescent="0.25">
      <c r="A146" s="33" t="s">
        <v>50</v>
      </c>
      <c r="B146" s="9" t="s">
        <v>86</v>
      </c>
      <c r="C146" s="24">
        <v>0.77272727272727271</v>
      </c>
      <c r="D146" s="24">
        <v>0.95121951219512202</v>
      </c>
      <c r="E146" s="24">
        <v>3.8461538461538464E-2</v>
      </c>
      <c r="F146" s="24">
        <v>0.22727272727272727</v>
      </c>
      <c r="G146" s="9">
        <f>_xlfn.XLOOKUP(A146,Employee_Master!A:A,Employee_Master!F:F)</f>
        <v>68844</v>
      </c>
      <c r="H146" s="29">
        <v>0</v>
      </c>
      <c r="I146" s="23" t="s">
        <v>155</v>
      </c>
      <c r="J146" s="34" t="str">
        <f>_xlfn.XLOOKUP(A146,Employee_Master!A:A,Employee_Master!C:C)</f>
        <v>HR</v>
      </c>
      <c r="K146" s="48"/>
      <c r="L146" s="48"/>
      <c r="M146" s="48"/>
      <c r="N146" s="48"/>
      <c r="O146" s="48"/>
      <c r="P146" s="48"/>
      <c r="Q146" s="48"/>
      <c r="R146"/>
    </row>
    <row r="147" spans="1:18" x14ac:dyDescent="0.25">
      <c r="A147" s="33" t="s">
        <v>63</v>
      </c>
      <c r="B147" s="9" t="s">
        <v>87</v>
      </c>
      <c r="C147" s="24">
        <v>0.81818181818181823</v>
      </c>
      <c r="D147" s="24">
        <v>0.95081967213114749</v>
      </c>
      <c r="E147" s="24">
        <v>1.7241379310344827E-2</v>
      </c>
      <c r="F147" s="24">
        <v>0.18181818181818182</v>
      </c>
      <c r="G147" s="9">
        <f>_xlfn.XLOOKUP(A147,Employee_Master!A:A,Employee_Master!F:F)</f>
        <v>86706</v>
      </c>
      <c r="H147" s="29">
        <v>0</v>
      </c>
      <c r="I147" s="23" t="s">
        <v>155</v>
      </c>
      <c r="J147" s="34" t="str">
        <f>_xlfn.XLOOKUP(A147,Employee_Master!A:A,Employee_Master!C:C)</f>
        <v>HR</v>
      </c>
      <c r="K147" s="48"/>
      <c r="L147" s="48"/>
      <c r="M147" s="48"/>
      <c r="N147" s="48"/>
      <c r="O147" s="48"/>
      <c r="P147" s="48"/>
      <c r="Q147" s="48"/>
      <c r="R147"/>
    </row>
    <row r="148" spans="1:18" hidden="1" x14ac:dyDescent="0.25">
      <c r="A148" s="33" t="s">
        <v>72</v>
      </c>
      <c r="B148" s="9" t="s">
        <v>87</v>
      </c>
      <c r="C148" s="24">
        <v>0.95454545454545459</v>
      </c>
      <c r="D148" s="24">
        <v>0.95081967213114749</v>
      </c>
      <c r="E148" s="24">
        <v>5.1724137931034482E-2</v>
      </c>
      <c r="F148" s="24">
        <v>4.5454545454545456E-2</v>
      </c>
      <c r="G148" s="9">
        <f>_xlfn.XLOOKUP(A148,Employee_Master!A:A,Employee_Master!F:F)</f>
        <v>77876</v>
      </c>
      <c r="H148" s="29">
        <v>0</v>
      </c>
      <c r="I148" s="23" t="s">
        <v>156</v>
      </c>
      <c r="J148" s="34" t="str">
        <f>_xlfn.XLOOKUP(A148,Employee_Master!A:A,Employee_Master!C:C)</f>
        <v>Sales</v>
      </c>
      <c r="K148" s="48"/>
      <c r="L148" s="48"/>
      <c r="M148" s="48"/>
      <c r="N148" s="48"/>
      <c r="O148" s="48"/>
      <c r="P148" s="48"/>
      <c r="Q148" s="48"/>
      <c r="R148"/>
    </row>
    <row r="149" spans="1:18" x14ac:dyDescent="0.25">
      <c r="A149" s="33" t="s">
        <v>22</v>
      </c>
      <c r="B149" s="9" t="s">
        <v>86</v>
      </c>
      <c r="C149" s="24">
        <v>0.86363636363636365</v>
      </c>
      <c r="D149" s="24">
        <v>0.95</v>
      </c>
      <c r="E149" s="24">
        <v>3.5087719298245612E-2</v>
      </c>
      <c r="F149" s="24">
        <v>0.13636363636363635</v>
      </c>
      <c r="G149" s="9">
        <f>_xlfn.XLOOKUP(A149,Employee_Master!A:A,Employee_Master!F:F)</f>
        <v>38396</v>
      </c>
      <c r="H149" s="29">
        <v>0</v>
      </c>
      <c r="I149" s="23" t="s">
        <v>155</v>
      </c>
      <c r="J149" s="34" t="str">
        <f>_xlfn.XLOOKUP(A149,Employee_Master!A:A,Employee_Master!C:C)</f>
        <v>IT</v>
      </c>
      <c r="K149" s="48"/>
      <c r="L149" s="48"/>
      <c r="M149" s="48"/>
      <c r="N149" s="48"/>
      <c r="O149" s="48"/>
      <c r="P149" s="48"/>
      <c r="Q149" s="48"/>
      <c r="R149"/>
    </row>
    <row r="150" spans="1:18" x14ac:dyDescent="0.25">
      <c r="A150" s="33" t="s">
        <v>33</v>
      </c>
      <c r="B150" s="9" t="s">
        <v>85</v>
      </c>
      <c r="C150" s="24">
        <v>0.81818181818181823</v>
      </c>
      <c r="D150" s="24">
        <v>0.95</v>
      </c>
      <c r="E150" s="24">
        <v>7.0175438596491224E-2</v>
      </c>
      <c r="F150" s="24">
        <v>0.18181818181818182</v>
      </c>
      <c r="G150" s="9">
        <f>_xlfn.XLOOKUP(A150,Employee_Master!A:A,Employee_Master!F:F)</f>
        <v>46257</v>
      </c>
      <c r="H150" s="29">
        <v>0</v>
      </c>
      <c r="I150" s="23" t="s">
        <v>155</v>
      </c>
      <c r="J150" s="34" t="str">
        <f>_xlfn.XLOOKUP(A150,Employee_Master!A:A,Employee_Master!C:C)</f>
        <v>HR</v>
      </c>
      <c r="K150" s="48"/>
      <c r="L150" s="48"/>
      <c r="M150" s="48"/>
      <c r="N150" s="48"/>
      <c r="O150" s="48"/>
      <c r="P150" s="48"/>
      <c r="Q150" s="48"/>
      <c r="R150"/>
    </row>
    <row r="151" spans="1:18" hidden="1" x14ac:dyDescent="0.25">
      <c r="A151" s="33" t="s">
        <v>58</v>
      </c>
      <c r="B151" s="9" t="s">
        <v>87</v>
      </c>
      <c r="C151" s="24">
        <v>1</v>
      </c>
      <c r="D151" s="24">
        <v>0.949367088607595</v>
      </c>
      <c r="E151" s="24">
        <v>1.3333333333333334E-2</v>
      </c>
      <c r="F151" s="24">
        <v>0</v>
      </c>
      <c r="G151" s="9">
        <f>_xlfn.XLOOKUP(A151,Employee_Master!A:A,Employee_Master!F:F)</f>
        <v>55298</v>
      </c>
      <c r="H151" s="29">
        <v>0</v>
      </c>
      <c r="I151" s="23" t="s">
        <v>156</v>
      </c>
      <c r="J151" s="34" t="str">
        <f>_xlfn.XLOOKUP(A151,Employee_Master!A:A,Employee_Master!C:C)</f>
        <v>Finance</v>
      </c>
      <c r="K151" s="48"/>
      <c r="L151" s="48"/>
      <c r="M151" s="48"/>
      <c r="N151" s="48"/>
      <c r="O151" s="48"/>
      <c r="P151" s="48"/>
      <c r="Q151" s="48"/>
      <c r="R151"/>
    </row>
    <row r="152" spans="1:18" x14ac:dyDescent="0.25">
      <c r="A152" s="33" t="s">
        <v>8</v>
      </c>
      <c r="B152" s="9" t="s">
        <v>87</v>
      </c>
      <c r="C152" s="24">
        <v>0.72727272727272729</v>
      </c>
      <c r="D152" s="24">
        <v>0.94915254237288138</v>
      </c>
      <c r="E152" s="24">
        <v>7.1428571428571425E-2</v>
      </c>
      <c r="F152" s="24">
        <v>0.27272727272727271</v>
      </c>
      <c r="G152" s="9">
        <f>_xlfn.XLOOKUP(A152,Employee_Master!A:A,Employee_Master!F:F)</f>
        <v>55448</v>
      </c>
      <c r="H152" s="29">
        <v>0</v>
      </c>
      <c r="I152" s="23" t="s">
        <v>155</v>
      </c>
      <c r="J152" s="34" t="str">
        <f>_xlfn.XLOOKUP(A152,Employee_Master!A:A,Employee_Master!C:C)</f>
        <v>HR</v>
      </c>
      <c r="K152" s="48"/>
      <c r="L152" s="48"/>
      <c r="M152" s="48"/>
      <c r="N152" s="48"/>
      <c r="O152" s="48"/>
      <c r="P152" s="48"/>
      <c r="Q152" s="48"/>
      <c r="R152" s="6"/>
    </row>
    <row r="153" spans="1:18" hidden="1" x14ac:dyDescent="0.25">
      <c r="A153" s="33" t="s">
        <v>59</v>
      </c>
      <c r="B153" s="9" t="s">
        <v>84</v>
      </c>
      <c r="C153" s="24">
        <v>1</v>
      </c>
      <c r="D153" s="24">
        <v>0.94871794871794857</v>
      </c>
      <c r="E153" s="24">
        <v>5.405405405405405E-2</v>
      </c>
      <c r="F153" s="24">
        <v>0</v>
      </c>
      <c r="G153" s="9">
        <f>_xlfn.XLOOKUP(A153,Employee_Master!A:A,Employee_Master!F:F)</f>
        <v>52765</v>
      </c>
      <c r="H153" s="29">
        <v>0</v>
      </c>
      <c r="I153" s="23" t="s">
        <v>156</v>
      </c>
      <c r="J153" s="34" t="str">
        <f>_xlfn.XLOOKUP(A153,Employee_Master!A:A,Employee_Master!C:C)</f>
        <v>IT</v>
      </c>
      <c r="K153" s="48"/>
      <c r="L153" s="48"/>
      <c r="M153" s="48"/>
      <c r="N153" s="48"/>
      <c r="O153" s="48"/>
      <c r="P153" s="48"/>
      <c r="Q153" s="48"/>
      <c r="R153"/>
    </row>
    <row r="154" spans="1:18" hidden="1" x14ac:dyDescent="0.25">
      <c r="A154" s="33" t="s">
        <v>54</v>
      </c>
      <c r="B154" s="9" t="s">
        <v>84</v>
      </c>
      <c r="C154" s="24">
        <v>1</v>
      </c>
      <c r="D154" s="24">
        <v>0.94827586206896552</v>
      </c>
      <c r="E154" s="24">
        <v>9.0909090909090912E-2</v>
      </c>
      <c r="F154" s="24">
        <v>0</v>
      </c>
      <c r="G154" s="9">
        <f>_xlfn.XLOOKUP(A154,Employee_Master!A:A,Employee_Master!F:F)</f>
        <v>61425</v>
      </c>
      <c r="H154" s="29">
        <v>0</v>
      </c>
      <c r="I154" s="23" t="s">
        <v>156</v>
      </c>
      <c r="J154" s="34" t="str">
        <f>_xlfn.XLOOKUP(A154,Employee_Master!A:A,Employee_Master!C:C)</f>
        <v>Finance</v>
      </c>
      <c r="K154" s="48"/>
      <c r="L154" s="48"/>
      <c r="M154" s="48"/>
      <c r="N154" s="48"/>
      <c r="O154" s="48"/>
      <c r="P154" s="48"/>
      <c r="Q154" s="48"/>
      <c r="R154"/>
    </row>
    <row r="155" spans="1:18" x14ac:dyDescent="0.25">
      <c r="A155" s="33" t="s">
        <v>62</v>
      </c>
      <c r="B155" s="9" t="s">
        <v>88</v>
      </c>
      <c r="C155" s="24">
        <v>0.77272727272727271</v>
      </c>
      <c r="D155" s="24">
        <v>0.94805194805194803</v>
      </c>
      <c r="E155" s="24">
        <v>4.1095890410958902E-2</v>
      </c>
      <c r="F155" s="24">
        <v>0.22727272727272727</v>
      </c>
      <c r="G155" s="9">
        <f>_xlfn.XLOOKUP(A155,Employee_Master!A:A,Employee_Master!F:F)</f>
        <v>83035</v>
      </c>
      <c r="H155" s="29">
        <v>0</v>
      </c>
      <c r="I155" s="23" t="s">
        <v>155</v>
      </c>
      <c r="J155" s="34" t="str">
        <f>_xlfn.XLOOKUP(A155,Employee_Master!A:A,Employee_Master!C:C)</f>
        <v>HR</v>
      </c>
      <c r="K155" s="48"/>
      <c r="L155" s="48"/>
      <c r="M155" s="48"/>
      <c r="N155" s="48"/>
      <c r="O155" s="48"/>
      <c r="P155" s="48"/>
      <c r="Q155" s="48"/>
      <c r="R155"/>
    </row>
    <row r="156" spans="1:18" x14ac:dyDescent="0.25">
      <c r="A156" s="33" t="s">
        <v>42</v>
      </c>
      <c r="B156" s="9" t="s">
        <v>87</v>
      </c>
      <c r="C156" s="24">
        <v>0.72727272727272729</v>
      </c>
      <c r="D156" s="24">
        <v>0.94736842105263153</v>
      </c>
      <c r="E156" s="24">
        <v>2.7777777777777776E-2</v>
      </c>
      <c r="F156" s="24">
        <v>0.27272727272727271</v>
      </c>
      <c r="G156" s="9">
        <f>_xlfn.XLOOKUP(A156,Employee_Master!A:A,Employee_Master!F:F)</f>
        <v>61034</v>
      </c>
      <c r="H156" s="29">
        <v>0</v>
      </c>
      <c r="I156" s="23" t="s">
        <v>155</v>
      </c>
      <c r="J156" s="34" t="str">
        <f>_xlfn.XLOOKUP(A156,Employee_Master!A:A,Employee_Master!C:C)</f>
        <v>Finance</v>
      </c>
      <c r="K156" s="48"/>
      <c r="L156" s="48"/>
      <c r="M156" s="48"/>
      <c r="N156" s="48"/>
      <c r="O156" s="48"/>
      <c r="P156" s="48"/>
      <c r="Q156" s="48"/>
      <c r="R156"/>
    </row>
    <row r="157" spans="1:18" x14ac:dyDescent="0.25">
      <c r="A157" s="33" t="s">
        <v>40</v>
      </c>
      <c r="B157" s="9" t="s">
        <v>85</v>
      </c>
      <c r="C157" s="24">
        <v>0.72727272727272729</v>
      </c>
      <c r="D157" s="24">
        <v>0.94666666666666677</v>
      </c>
      <c r="E157" s="24">
        <v>1.4084507042253523E-2</v>
      </c>
      <c r="F157" s="24">
        <v>0.27272727272727271</v>
      </c>
      <c r="G157" s="9">
        <f>_xlfn.XLOOKUP(A157,Employee_Master!A:A,Employee_Master!F:F)</f>
        <v>41091</v>
      </c>
      <c r="H157" s="29">
        <v>0</v>
      </c>
      <c r="I157" s="23" t="s">
        <v>155</v>
      </c>
      <c r="J157" s="34" t="str">
        <f>_xlfn.XLOOKUP(A157,Employee_Master!A:A,Employee_Master!C:C)</f>
        <v>HR</v>
      </c>
      <c r="K157" s="48"/>
      <c r="L157" s="48"/>
      <c r="M157" s="48"/>
      <c r="N157" s="48"/>
      <c r="O157" s="48"/>
      <c r="P157" s="48"/>
      <c r="Q157" s="48"/>
      <c r="R157"/>
    </row>
    <row r="158" spans="1:18" x14ac:dyDescent="0.25">
      <c r="A158" s="33" t="s">
        <v>45</v>
      </c>
      <c r="B158" s="9" t="s">
        <v>88</v>
      </c>
      <c r="C158" s="24">
        <v>0.90909090909090906</v>
      </c>
      <c r="D158" s="24">
        <v>0.94666666666666677</v>
      </c>
      <c r="E158" s="24">
        <v>1.4084507042253523E-2</v>
      </c>
      <c r="F158" s="24">
        <v>9.0909090909090912E-2</v>
      </c>
      <c r="G158" s="9">
        <f>_xlfn.XLOOKUP(A158,Employee_Master!A:A,Employee_Master!F:F)</f>
        <v>37716</v>
      </c>
      <c r="H158" s="29">
        <v>0</v>
      </c>
      <c r="I158" s="23" t="s">
        <v>157</v>
      </c>
      <c r="J158" s="34" t="str">
        <f>_xlfn.XLOOKUP(A158,Employee_Master!A:A,Employee_Master!C:C)</f>
        <v>IT</v>
      </c>
      <c r="K158" s="48"/>
      <c r="L158" s="48"/>
      <c r="M158" s="48"/>
      <c r="N158" s="48"/>
      <c r="O158" s="48"/>
      <c r="P158" s="48"/>
      <c r="Q158" s="48"/>
      <c r="R158"/>
    </row>
    <row r="159" spans="1:18" x14ac:dyDescent="0.25">
      <c r="A159" s="33" t="s">
        <v>77</v>
      </c>
      <c r="B159" s="9" t="s">
        <v>86</v>
      </c>
      <c r="C159" s="24">
        <v>0.81818181818181823</v>
      </c>
      <c r="D159" s="24">
        <v>0.94594594594594594</v>
      </c>
      <c r="E159" s="24">
        <v>8.5714285714285715E-2</v>
      </c>
      <c r="F159" s="24">
        <v>0.18181818181818182</v>
      </c>
      <c r="G159" s="9">
        <f>_xlfn.XLOOKUP(A159,Employee_Master!A:A,Employee_Master!F:F)</f>
        <v>59133</v>
      </c>
      <c r="H159" s="29">
        <v>0</v>
      </c>
      <c r="I159" s="23" t="s">
        <v>155</v>
      </c>
      <c r="J159" s="34" t="str">
        <f>_xlfn.XLOOKUP(A159,Employee_Master!A:A,Employee_Master!C:C)</f>
        <v>HR</v>
      </c>
      <c r="K159" s="48"/>
      <c r="L159" s="48"/>
      <c r="M159" s="48"/>
      <c r="N159" s="48"/>
      <c r="O159" s="48"/>
      <c r="P159" s="48"/>
      <c r="Q159" s="48"/>
      <c r="R159"/>
    </row>
    <row r="160" spans="1:18" x14ac:dyDescent="0.25">
      <c r="A160" s="33" t="s">
        <v>13</v>
      </c>
      <c r="B160" s="9" t="s">
        <v>85</v>
      </c>
      <c r="C160" s="24">
        <v>0.77272727272727271</v>
      </c>
      <c r="D160" s="24">
        <v>0.94545454545454544</v>
      </c>
      <c r="E160" s="24">
        <v>5.7692307692307689E-2</v>
      </c>
      <c r="F160" s="24">
        <v>0.22727272727272727</v>
      </c>
      <c r="G160" s="9">
        <f>_xlfn.XLOOKUP(A160,Employee_Master!A:A,Employee_Master!F:F)</f>
        <v>66433</v>
      </c>
      <c r="H160" s="29">
        <v>0</v>
      </c>
      <c r="I160" s="23" t="s">
        <v>155</v>
      </c>
      <c r="J160" s="34" t="str">
        <f>_xlfn.XLOOKUP(A160,Employee_Master!A:A,Employee_Master!C:C)</f>
        <v>Sales</v>
      </c>
      <c r="K160" s="48"/>
      <c r="L160" s="48"/>
      <c r="M160" s="48"/>
      <c r="N160" s="48"/>
      <c r="O160" s="48"/>
      <c r="P160" s="48"/>
      <c r="Q160" s="48"/>
      <c r="R160"/>
    </row>
    <row r="161" spans="1:18" hidden="1" x14ac:dyDescent="0.25">
      <c r="A161" s="33" t="s">
        <v>68</v>
      </c>
      <c r="B161" s="9" t="s">
        <v>86</v>
      </c>
      <c r="C161" s="24">
        <v>1</v>
      </c>
      <c r="D161" s="24">
        <v>0.94545454545454544</v>
      </c>
      <c r="E161" s="24">
        <v>5.7692307692307689E-2</v>
      </c>
      <c r="F161" s="24">
        <v>0</v>
      </c>
      <c r="G161" s="9">
        <f>_xlfn.XLOOKUP(A161,Employee_Master!A:A,Employee_Master!F:F)</f>
        <v>62782</v>
      </c>
      <c r="H161" s="29">
        <v>0</v>
      </c>
      <c r="I161" s="23" t="s">
        <v>156</v>
      </c>
      <c r="J161" s="34" t="str">
        <f>_xlfn.XLOOKUP(A161,Employee_Master!A:A,Employee_Master!C:C)</f>
        <v>Sales</v>
      </c>
      <c r="K161" s="48"/>
      <c r="L161" s="48"/>
      <c r="M161" s="48"/>
      <c r="N161" s="48"/>
      <c r="O161" s="48"/>
      <c r="P161" s="48"/>
      <c r="Q161" s="48"/>
      <c r="R161"/>
    </row>
    <row r="162" spans="1:18" x14ac:dyDescent="0.25">
      <c r="A162" s="33" t="s">
        <v>39</v>
      </c>
      <c r="B162" s="9" t="s">
        <v>84</v>
      </c>
      <c r="C162" s="24">
        <v>0.72727272727272729</v>
      </c>
      <c r="D162" s="24">
        <v>0.94444444444444442</v>
      </c>
      <c r="E162" s="24">
        <v>5.8823529411764698E-2</v>
      </c>
      <c r="F162" s="24">
        <v>0.27272727272727271</v>
      </c>
      <c r="G162" s="9">
        <f>_xlfn.XLOOKUP(A162,Employee_Master!A:A,Employee_Master!F:F)</f>
        <v>89085</v>
      </c>
      <c r="H162" s="29">
        <v>0</v>
      </c>
      <c r="I162" s="23" t="s">
        <v>155</v>
      </c>
      <c r="J162" s="34" t="str">
        <f>_xlfn.XLOOKUP(A162,Employee_Master!A:A,Employee_Master!C:C)</f>
        <v>Sales</v>
      </c>
      <c r="K162" s="48"/>
      <c r="L162" s="48"/>
      <c r="M162" s="48"/>
      <c r="N162" s="48"/>
      <c r="O162" s="48"/>
      <c r="P162" s="48"/>
      <c r="Q162" s="48"/>
      <c r="R162"/>
    </row>
    <row r="163" spans="1:18" x14ac:dyDescent="0.25">
      <c r="A163" s="33" t="s">
        <v>63</v>
      </c>
      <c r="B163" s="9" t="s">
        <v>83</v>
      </c>
      <c r="C163" s="24">
        <v>0.81818181818181823</v>
      </c>
      <c r="D163" s="24">
        <v>0.94444444444444442</v>
      </c>
      <c r="E163" s="24">
        <v>5.8823529411764698E-2</v>
      </c>
      <c r="F163" s="24">
        <v>0.18181818181818182</v>
      </c>
      <c r="G163" s="9">
        <f>_xlfn.XLOOKUP(A163,Employee_Master!A:A,Employee_Master!F:F)</f>
        <v>86706</v>
      </c>
      <c r="H163" s="29">
        <v>0</v>
      </c>
      <c r="I163" s="23" t="s">
        <v>155</v>
      </c>
      <c r="J163" s="34" t="str">
        <f>_xlfn.XLOOKUP(A163,Employee_Master!A:A,Employee_Master!C:C)</f>
        <v>HR</v>
      </c>
      <c r="K163" s="48"/>
      <c r="L163" s="48"/>
      <c r="M163" s="48"/>
      <c r="N163" s="48"/>
      <c r="O163" s="48"/>
      <c r="P163" s="48"/>
      <c r="Q163" s="48"/>
      <c r="R163"/>
    </row>
    <row r="164" spans="1:18" hidden="1" x14ac:dyDescent="0.25">
      <c r="A164" s="33" t="s">
        <v>39</v>
      </c>
      <c r="B164" s="9" t="s">
        <v>83</v>
      </c>
      <c r="C164" s="24">
        <v>1</v>
      </c>
      <c r="D164" s="24">
        <v>0.94339622641509435</v>
      </c>
      <c r="E164" s="24">
        <v>0.02</v>
      </c>
      <c r="F164" s="24">
        <v>0</v>
      </c>
      <c r="G164" s="9">
        <f>_xlfn.XLOOKUP(A164,Employee_Master!A:A,Employee_Master!F:F)</f>
        <v>89085</v>
      </c>
      <c r="H164" s="29">
        <v>0</v>
      </c>
      <c r="I164" s="23" t="s">
        <v>156</v>
      </c>
      <c r="J164" s="34" t="str">
        <f>_xlfn.XLOOKUP(A164,Employee_Master!A:A,Employee_Master!C:C)</f>
        <v>Sales</v>
      </c>
      <c r="K164" s="48"/>
      <c r="L164" s="48"/>
      <c r="M164" s="48"/>
      <c r="N164" s="48"/>
      <c r="O164" s="48"/>
      <c r="P164" s="48"/>
      <c r="Q164" s="48"/>
      <c r="R164"/>
    </row>
    <row r="165" spans="1:18" x14ac:dyDescent="0.25">
      <c r="A165" s="33" t="s">
        <v>71</v>
      </c>
      <c r="B165" s="9" t="s">
        <v>85</v>
      </c>
      <c r="C165" s="24">
        <v>0.81818181818181823</v>
      </c>
      <c r="D165" s="24">
        <v>0.94339622641509435</v>
      </c>
      <c r="E165" s="24">
        <v>0.06</v>
      </c>
      <c r="F165" s="24">
        <v>0.18181818181818182</v>
      </c>
      <c r="G165" s="9">
        <f>_xlfn.XLOOKUP(A165,Employee_Master!A:A,Employee_Master!F:F)</f>
        <v>46149</v>
      </c>
      <c r="H165" s="29">
        <v>0</v>
      </c>
      <c r="I165" s="23" t="s">
        <v>155</v>
      </c>
      <c r="J165" s="34" t="str">
        <f>_xlfn.XLOOKUP(A165,Employee_Master!A:A,Employee_Master!C:C)</f>
        <v>IT</v>
      </c>
      <c r="K165" s="48"/>
      <c r="L165" s="48"/>
      <c r="M165" s="48"/>
      <c r="N165" s="48"/>
      <c r="O165" s="48"/>
      <c r="P165" s="48"/>
      <c r="Q165" s="48"/>
      <c r="R165"/>
    </row>
    <row r="166" spans="1:18" x14ac:dyDescent="0.25">
      <c r="A166" s="33" t="s">
        <v>34</v>
      </c>
      <c r="B166" s="9" t="s">
        <v>84</v>
      </c>
      <c r="C166" s="24">
        <v>0.81818181818181823</v>
      </c>
      <c r="D166" s="24">
        <v>0.94285714285714273</v>
      </c>
      <c r="E166" s="24">
        <v>3.0303030303030304E-2</v>
      </c>
      <c r="F166" s="24">
        <v>0.18181818181818182</v>
      </c>
      <c r="G166" s="9">
        <f>_xlfn.XLOOKUP(A166,Employee_Master!A:A,Employee_Master!F:F)</f>
        <v>45880</v>
      </c>
      <c r="H166" s="29">
        <v>0</v>
      </c>
      <c r="I166" s="23" t="s">
        <v>155</v>
      </c>
      <c r="J166" s="34" t="str">
        <f>_xlfn.XLOOKUP(A166,Employee_Master!A:A,Employee_Master!C:C)</f>
        <v>Sales</v>
      </c>
      <c r="K166" s="48"/>
      <c r="L166" s="48"/>
      <c r="M166" s="48"/>
      <c r="N166" s="48"/>
      <c r="O166" s="48"/>
      <c r="P166" s="48"/>
      <c r="Q166" s="48"/>
      <c r="R166"/>
    </row>
    <row r="167" spans="1:18" x14ac:dyDescent="0.25">
      <c r="A167" s="33" t="s">
        <v>52</v>
      </c>
      <c r="B167" s="9" t="s">
        <v>88</v>
      </c>
      <c r="C167" s="24">
        <v>0.86363636363636365</v>
      </c>
      <c r="D167" s="24">
        <v>0.94230769230769229</v>
      </c>
      <c r="E167" s="24">
        <v>8.1632653061224497E-2</v>
      </c>
      <c r="F167" s="24">
        <v>0.13636363636363635</v>
      </c>
      <c r="G167" s="9">
        <f>_xlfn.XLOOKUP(A167,Employee_Master!A:A,Employee_Master!F:F)</f>
        <v>65366</v>
      </c>
      <c r="H167" s="29">
        <v>0</v>
      </c>
      <c r="I167" s="23" t="s">
        <v>155</v>
      </c>
      <c r="J167" s="34" t="str">
        <f>_xlfn.XLOOKUP(A167,Employee_Master!A:A,Employee_Master!C:C)</f>
        <v>Finance</v>
      </c>
      <c r="K167" s="48"/>
      <c r="L167" s="48"/>
      <c r="M167" s="48"/>
      <c r="N167" s="48"/>
      <c r="O167" s="48"/>
      <c r="P167" s="48"/>
      <c r="Q167" s="48"/>
      <c r="R167"/>
    </row>
    <row r="168" spans="1:18" x14ac:dyDescent="0.25">
      <c r="A168" s="33" t="s">
        <v>61</v>
      </c>
      <c r="B168" s="9" t="s">
        <v>83</v>
      </c>
      <c r="C168" s="24">
        <v>0.90909090909090906</v>
      </c>
      <c r="D168" s="24">
        <v>0.94230769230769229</v>
      </c>
      <c r="E168" s="24">
        <v>6.1224489795918366E-2</v>
      </c>
      <c r="F168" s="24">
        <v>9.0909090909090912E-2</v>
      </c>
      <c r="G168" s="9">
        <f>_xlfn.XLOOKUP(A168,Employee_Master!A:A,Employee_Master!F:F)</f>
        <v>54123</v>
      </c>
      <c r="H168" s="29">
        <v>0</v>
      </c>
      <c r="I168" s="23" t="s">
        <v>157</v>
      </c>
      <c r="J168" s="34" t="str">
        <f>_xlfn.XLOOKUP(A168,Employee_Master!A:A,Employee_Master!C:C)</f>
        <v>HR</v>
      </c>
      <c r="K168" s="48"/>
      <c r="L168" s="48"/>
      <c r="M168" s="48"/>
      <c r="N168" s="48"/>
      <c r="O168" s="48"/>
      <c r="P168" s="48"/>
      <c r="Q168" s="48"/>
      <c r="R168"/>
    </row>
    <row r="169" spans="1:18" hidden="1" x14ac:dyDescent="0.25">
      <c r="A169" s="33" t="s">
        <v>76</v>
      </c>
      <c r="B169" s="9" t="s">
        <v>86</v>
      </c>
      <c r="C169" s="24">
        <v>1</v>
      </c>
      <c r="D169" s="24">
        <v>0.94202898550724645</v>
      </c>
      <c r="E169" s="24">
        <v>3.0769230769230771E-2</v>
      </c>
      <c r="F169" s="24">
        <v>0</v>
      </c>
      <c r="G169" s="9">
        <f>_xlfn.XLOOKUP(A169,Employee_Master!A:A,Employee_Master!F:F)</f>
        <v>39915</v>
      </c>
      <c r="H169" s="29">
        <v>0</v>
      </c>
      <c r="I169" s="23" t="s">
        <v>156</v>
      </c>
      <c r="J169" s="34" t="str">
        <f>_xlfn.XLOOKUP(A169,Employee_Master!A:A,Employee_Master!C:C)</f>
        <v>HR</v>
      </c>
      <c r="K169" s="48"/>
      <c r="L169" s="48"/>
      <c r="M169" s="48"/>
      <c r="N169" s="48"/>
      <c r="O169" s="48"/>
      <c r="P169" s="48"/>
      <c r="Q169" s="48"/>
      <c r="R169"/>
    </row>
    <row r="170" spans="1:18" x14ac:dyDescent="0.25">
      <c r="A170" s="33" t="s">
        <v>45</v>
      </c>
      <c r="B170" s="9" t="s">
        <v>84</v>
      </c>
      <c r="C170" s="24">
        <v>0.77272727272727271</v>
      </c>
      <c r="D170" s="24">
        <v>0.94117647058823517</v>
      </c>
      <c r="E170" s="24">
        <v>0</v>
      </c>
      <c r="F170" s="24">
        <v>0.22727272727272727</v>
      </c>
      <c r="G170" s="9">
        <f>_xlfn.XLOOKUP(A170,Employee_Master!A:A,Employee_Master!F:F)</f>
        <v>37716</v>
      </c>
      <c r="H170" s="29">
        <v>0</v>
      </c>
      <c r="I170" s="23" t="s">
        <v>155</v>
      </c>
      <c r="J170" s="34" t="str">
        <f>_xlfn.XLOOKUP(A170,Employee_Master!A:A,Employee_Master!C:C)</f>
        <v>IT</v>
      </c>
      <c r="K170" s="48"/>
      <c r="L170" s="48"/>
      <c r="M170" s="48"/>
      <c r="N170" s="48"/>
      <c r="O170" s="48"/>
      <c r="P170" s="48"/>
      <c r="Q170" s="48"/>
      <c r="R170"/>
    </row>
    <row r="171" spans="1:18" x14ac:dyDescent="0.25">
      <c r="A171" s="33" t="s">
        <v>60</v>
      </c>
      <c r="B171" s="9" t="s">
        <v>86</v>
      </c>
      <c r="C171" s="24">
        <v>0.72727272727272729</v>
      </c>
      <c r="D171" s="24">
        <v>0.94117647058823517</v>
      </c>
      <c r="E171" s="24">
        <v>0</v>
      </c>
      <c r="F171" s="24">
        <v>0.27272727272727271</v>
      </c>
      <c r="G171" s="9">
        <f>_xlfn.XLOOKUP(A171,Employee_Master!A:A,Employee_Master!F:F)</f>
        <v>80497</v>
      </c>
      <c r="H171" s="29">
        <v>0</v>
      </c>
      <c r="I171" s="23" t="s">
        <v>155</v>
      </c>
      <c r="J171" s="34" t="str">
        <f>_xlfn.XLOOKUP(A171,Employee_Master!A:A,Employee_Master!C:C)</f>
        <v>Finance</v>
      </c>
      <c r="K171" s="48"/>
      <c r="L171" s="48"/>
      <c r="M171" s="48"/>
      <c r="N171" s="48"/>
      <c r="O171" s="48"/>
      <c r="P171" s="48"/>
      <c r="Q171" s="48"/>
      <c r="R171"/>
    </row>
    <row r="172" spans="1:18" x14ac:dyDescent="0.25">
      <c r="A172" s="33" t="s">
        <v>32</v>
      </c>
      <c r="B172" s="9" t="s">
        <v>87</v>
      </c>
      <c r="C172" s="24">
        <v>0.72727272727272729</v>
      </c>
      <c r="D172" s="24">
        <v>0.94047619047619047</v>
      </c>
      <c r="E172" s="24">
        <v>1.2658227848101267E-2</v>
      </c>
      <c r="F172" s="24">
        <v>0.27272727272727271</v>
      </c>
      <c r="G172" s="9">
        <f>_xlfn.XLOOKUP(A172,Employee_Master!A:A,Employee_Master!F:F)</f>
        <v>80699</v>
      </c>
      <c r="H172" s="29">
        <v>0</v>
      </c>
      <c r="I172" s="23" t="s">
        <v>155</v>
      </c>
      <c r="J172" s="34" t="str">
        <f>_xlfn.XLOOKUP(A172,Employee_Master!A:A,Employee_Master!C:C)</f>
        <v>IT</v>
      </c>
      <c r="K172" s="48"/>
      <c r="L172" s="48"/>
      <c r="M172" s="48"/>
      <c r="N172" s="48"/>
      <c r="O172" s="48"/>
      <c r="P172" s="48"/>
      <c r="Q172" s="48"/>
      <c r="R172"/>
    </row>
    <row r="173" spans="1:18" x14ac:dyDescent="0.25">
      <c r="A173" s="33" t="s">
        <v>50</v>
      </c>
      <c r="B173" s="9" t="s">
        <v>87</v>
      </c>
      <c r="C173" s="24">
        <v>0.77272727272727271</v>
      </c>
      <c r="D173" s="24">
        <v>0.94029850746268662</v>
      </c>
      <c r="E173" s="24">
        <v>3.1746031746031744E-2</v>
      </c>
      <c r="F173" s="24">
        <v>0.22727272727272727</v>
      </c>
      <c r="G173" s="9">
        <f>_xlfn.XLOOKUP(A173,Employee_Master!A:A,Employee_Master!F:F)</f>
        <v>68844</v>
      </c>
      <c r="H173" s="29">
        <v>0</v>
      </c>
      <c r="I173" s="23" t="s">
        <v>155</v>
      </c>
      <c r="J173" s="34" t="str">
        <f>_xlfn.XLOOKUP(A173,Employee_Master!A:A,Employee_Master!C:C)</f>
        <v>HR</v>
      </c>
      <c r="K173" s="48"/>
      <c r="L173" s="48"/>
      <c r="M173" s="48"/>
      <c r="N173" s="48"/>
      <c r="O173" s="48"/>
      <c r="P173" s="48"/>
      <c r="Q173" s="48"/>
      <c r="R173"/>
    </row>
    <row r="174" spans="1:18" x14ac:dyDescent="0.25">
      <c r="A174" s="33" t="s">
        <v>41</v>
      </c>
      <c r="B174" s="9" t="s">
        <v>85</v>
      </c>
      <c r="C174" s="24">
        <v>0.72727272727272729</v>
      </c>
      <c r="D174" s="24">
        <v>0.93939393939393934</v>
      </c>
      <c r="E174" s="24">
        <v>4.8387096774193547E-2</v>
      </c>
      <c r="F174" s="24">
        <v>0.27272727272727271</v>
      </c>
      <c r="G174" s="9">
        <f>_xlfn.XLOOKUP(A174,Employee_Master!A:A,Employee_Master!F:F)</f>
        <v>38287</v>
      </c>
      <c r="H174" s="29">
        <v>0</v>
      </c>
      <c r="I174" s="23" t="s">
        <v>155</v>
      </c>
      <c r="J174" s="34" t="str">
        <f>_xlfn.XLOOKUP(A174,Employee_Master!A:A,Employee_Master!C:C)</f>
        <v>Sales</v>
      </c>
      <c r="K174" s="48"/>
      <c r="L174" s="48"/>
      <c r="M174" s="48"/>
      <c r="N174" s="48"/>
      <c r="O174" s="48"/>
      <c r="P174" s="48"/>
      <c r="Q174" s="48"/>
      <c r="R174"/>
    </row>
    <row r="175" spans="1:18" x14ac:dyDescent="0.25">
      <c r="A175" s="33" t="s">
        <v>64</v>
      </c>
      <c r="B175" s="9" t="s">
        <v>85</v>
      </c>
      <c r="C175" s="24">
        <v>0.77272727272727271</v>
      </c>
      <c r="D175" s="24">
        <v>0.93939393939393934</v>
      </c>
      <c r="E175" s="24">
        <v>1.6129032258064516E-2</v>
      </c>
      <c r="F175" s="24">
        <v>0.22727272727272727</v>
      </c>
      <c r="G175" s="9">
        <f>_xlfn.XLOOKUP(A175,Employee_Master!A:A,Employee_Master!F:F)</f>
        <v>37560</v>
      </c>
      <c r="H175" s="29">
        <v>0</v>
      </c>
      <c r="I175" s="23" t="s">
        <v>155</v>
      </c>
      <c r="J175" s="34" t="str">
        <f>_xlfn.XLOOKUP(A175,Employee_Master!A:A,Employee_Master!C:C)</f>
        <v>IT</v>
      </c>
      <c r="K175" s="48"/>
      <c r="L175" s="48"/>
      <c r="M175" s="48"/>
      <c r="N175" s="48"/>
      <c r="O175" s="48"/>
      <c r="P175" s="48"/>
      <c r="Q175" s="48"/>
      <c r="R175"/>
    </row>
    <row r="176" spans="1:18" x14ac:dyDescent="0.25">
      <c r="A176" s="33" t="s">
        <v>45</v>
      </c>
      <c r="B176" s="9" t="s">
        <v>86</v>
      </c>
      <c r="C176" s="24">
        <v>0.81818181818181823</v>
      </c>
      <c r="D176" s="24">
        <v>0.93877551020408168</v>
      </c>
      <c r="E176" s="24">
        <v>6.5217391304347824E-2</v>
      </c>
      <c r="F176" s="24">
        <v>0.18181818181818182</v>
      </c>
      <c r="G176" s="9">
        <f>_xlfn.XLOOKUP(A176,Employee_Master!A:A,Employee_Master!F:F)</f>
        <v>37716</v>
      </c>
      <c r="H176" s="29">
        <v>0</v>
      </c>
      <c r="I176" s="23" t="s">
        <v>155</v>
      </c>
      <c r="J176" s="34" t="str">
        <f>_xlfn.XLOOKUP(A176,Employee_Master!A:A,Employee_Master!C:C)</f>
        <v>IT</v>
      </c>
      <c r="K176" s="48"/>
      <c r="L176" s="48"/>
      <c r="M176" s="48"/>
      <c r="N176" s="48"/>
      <c r="O176" s="48"/>
      <c r="P176" s="48"/>
      <c r="Q176" s="48"/>
      <c r="R176"/>
    </row>
    <row r="177" spans="1:18" hidden="1" x14ac:dyDescent="0.25">
      <c r="A177" s="33" t="s">
        <v>51</v>
      </c>
      <c r="B177" s="9" t="s">
        <v>83</v>
      </c>
      <c r="C177" s="24">
        <v>1</v>
      </c>
      <c r="D177" s="24">
        <v>0.93877551020408168</v>
      </c>
      <c r="E177" s="24">
        <v>0</v>
      </c>
      <c r="F177" s="24">
        <v>0</v>
      </c>
      <c r="G177" s="9">
        <f>_xlfn.XLOOKUP(A177,Employee_Master!A:A,Employee_Master!F:F)</f>
        <v>52195</v>
      </c>
      <c r="H177" s="29">
        <v>0</v>
      </c>
      <c r="I177" s="23" t="s">
        <v>156</v>
      </c>
      <c r="J177" s="34" t="str">
        <f>_xlfn.XLOOKUP(A177,Employee_Master!A:A,Employee_Master!C:C)</f>
        <v>HR</v>
      </c>
      <c r="K177" s="48"/>
      <c r="L177" s="48"/>
      <c r="M177" s="48"/>
      <c r="N177" s="48"/>
      <c r="O177" s="48"/>
      <c r="P177" s="48"/>
      <c r="Q177" s="48"/>
      <c r="R177"/>
    </row>
    <row r="178" spans="1:18" x14ac:dyDescent="0.25">
      <c r="A178" s="33" t="s">
        <v>78</v>
      </c>
      <c r="B178" s="9" t="s">
        <v>85</v>
      </c>
      <c r="C178" s="24">
        <v>0.72727272727272729</v>
      </c>
      <c r="D178" s="24">
        <v>0.93877551020408168</v>
      </c>
      <c r="E178" s="24">
        <v>8.6956521739130432E-2</v>
      </c>
      <c r="F178" s="24">
        <v>0.27272727272727271</v>
      </c>
      <c r="G178" s="9">
        <f>_xlfn.XLOOKUP(A178,Employee_Master!A:A,Employee_Master!F:F)</f>
        <v>36280</v>
      </c>
      <c r="H178" s="29">
        <v>0</v>
      </c>
      <c r="I178" s="23" t="s">
        <v>155</v>
      </c>
      <c r="J178" s="34" t="str">
        <f>_xlfn.XLOOKUP(A178,Employee_Master!A:A,Employee_Master!C:C)</f>
        <v>HR</v>
      </c>
      <c r="K178" s="48"/>
      <c r="L178" s="48"/>
      <c r="M178" s="48"/>
      <c r="N178" s="48"/>
      <c r="O178" s="48"/>
      <c r="P178" s="48"/>
      <c r="Q178" s="48"/>
      <c r="R178"/>
    </row>
    <row r="179" spans="1:18" x14ac:dyDescent="0.25">
      <c r="A179" s="33" t="s">
        <v>51</v>
      </c>
      <c r="B179" s="9" t="s">
        <v>85</v>
      </c>
      <c r="C179" s="24">
        <v>0.86363636363636365</v>
      </c>
      <c r="D179" s="24">
        <v>0.93846153846153835</v>
      </c>
      <c r="E179" s="24">
        <v>3.2786885245901641E-2</v>
      </c>
      <c r="F179" s="24">
        <v>0.13636363636363635</v>
      </c>
      <c r="G179" s="9">
        <f>_xlfn.XLOOKUP(A179,Employee_Master!A:A,Employee_Master!F:F)</f>
        <v>52195</v>
      </c>
      <c r="H179" s="29">
        <v>0</v>
      </c>
      <c r="I179" s="23" t="s">
        <v>155</v>
      </c>
      <c r="J179" s="34" t="str">
        <f>_xlfn.XLOOKUP(A179,Employee_Master!A:A,Employee_Master!C:C)</f>
        <v>HR</v>
      </c>
      <c r="K179" s="48"/>
      <c r="L179" s="48"/>
      <c r="M179" s="48"/>
      <c r="N179" s="48"/>
      <c r="O179" s="48"/>
      <c r="P179" s="48"/>
      <c r="Q179" s="48"/>
      <c r="R179"/>
    </row>
    <row r="180" spans="1:18" x14ac:dyDescent="0.25">
      <c r="A180" s="33" t="s">
        <v>51</v>
      </c>
      <c r="B180" s="9" t="s">
        <v>88</v>
      </c>
      <c r="C180" s="24">
        <v>0.86363636363636365</v>
      </c>
      <c r="D180" s="24">
        <v>0.93827160493827155</v>
      </c>
      <c r="E180" s="24">
        <v>6.5789473684210523E-2</v>
      </c>
      <c r="F180" s="24">
        <v>0.13636363636363635</v>
      </c>
      <c r="G180" s="9">
        <f>_xlfn.XLOOKUP(A180,Employee_Master!A:A,Employee_Master!F:F)</f>
        <v>52195</v>
      </c>
      <c r="H180" s="29">
        <v>0</v>
      </c>
      <c r="I180" s="23" t="s">
        <v>155</v>
      </c>
      <c r="J180" s="34" t="str">
        <f>_xlfn.XLOOKUP(A180,Employee_Master!A:A,Employee_Master!C:C)</f>
        <v>HR</v>
      </c>
      <c r="K180" s="48"/>
      <c r="L180" s="48"/>
      <c r="M180" s="48"/>
      <c r="N180" s="48"/>
      <c r="O180" s="48"/>
      <c r="P180" s="48"/>
      <c r="Q180" s="48"/>
      <c r="R180"/>
    </row>
    <row r="181" spans="1:18" hidden="1" x14ac:dyDescent="0.25">
      <c r="A181" s="33" t="s">
        <v>18</v>
      </c>
      <c r="B181" s="9" t="s">
        <v>86</v>
      </c>
      <c r="C181" s="24">
        <v>1</v>
      </c>
      <c r="D181" s="24">
        <v>0.9375</v>
      </c>
      <c r="E181" s="24">
        <v>6.6666666666666666E-2</v>
      </c>
      <c r="F181" s="24">
        <v>0</v>
      </c>
      <c r="G181" s="9">
        <f>_xlfn.XLOOKUP(A181,Employee_Master!A:A,Employee_Master!F:F)</f>
        <v>49957</v>
      </c>
      <c r="H181" s="29">
        <v>0</v>
      </c>
      <c r="I181" s="23" t="s">
        <v>156</v>
      </c>
      <c r="J181" s="34" t="str">
        <f>_xlfn.XLOOKUP(A181,Employee_Master!A:A,Employee_Master!C:C)</f>
        <v>HR</v>
      </c>
      <c r="K181" s="48"/>
      <c r="L181" s="48"/>
      <c r="M181" s="48"/>
      <c r="N181" s="48"/>
      <c r="O181" s="48"/>
      <c r="P181" s="48"/>
      <c r="Q181" s="48"/>
      <c r="R181"/>
    </row>
    <row r="182" spans="1:18" x14ac:dyDescent="0.25">
      <c r="A182" s="33" t="s">
        <v>38</v>
      </c>
      <c r="B182" s="9" t="s">
        <v>86</v>
      </c>
      <c r="C182" s="24">
        <v>0.77272727272727271</v>
      </c>
      <c r="D182" s="24">
        <v>0.9375</v>
      </c>
      <c r="E182" s="24">
        <v>0</v>
      </c>
      <c r="F182" s="24">
        <v>0.22727272727272727</v>
      </c>
      <c r="G182" s="9">
        <f>_xlfn.XLOOKUP(A182,Employee_Master!A:A,Employee_Master!F:F)</f>
        <v>36447</v>
      </c>
      <c r="H182" s="29">
        <v>0</v>
      </c>
      <c r="I182" s="23" t="s">
        <v>155</v>
      </c>
      <c r="J182" s="34" t="str">
        <f>_xlfn.XLOOKUP(A182,Employee_Master!A:A,Employee_Master!C:C)</f>
        <v>IT</v>
      </c>
      <c r="K182" s="48"/>
      <c r="L182" s="48"/>
      <c r="M182" s="48"/>
      <c r="N182" s="48"/>
      <c r="O182" s="48"/>
      <c r="P182" s="48"/>
      <c r="Q182" s="48"/>
      <c r="R182"/>
    </row>
    <row r="183" spans="1:18" hidden="1" x14ac:dyDescent="0.25">
      <c r="A183" s="33" t="s">
        <v>57</v>
      </c>
      <c r="B183" s="9" t="s">
        <v>84</v>
      </c>
      <c r="C183" s="24">
        <v>0.95454545454545459</v>
      </c>
      <c r="D183" s="24">
        <v>0.9375</v>
      </c>
      <c r="E183" s="24">
        <v>0</v>
      </c>
      <c r="F183" s="24">
        <v>4.5454545454545456E-2</v>
      </c>
      <c r="G183" s="9">
        <f>_xlfn.XLOOKUP(A183,Employee_Master!A:A,Employee_Master!F:F)</f>
        <v>71787</v>
      </c>
      <c r="H183" s="29">
        <v>0</v>
      </c>
      <c r="I183" s="23" t="s">
        <v>156</v>
      </c>
      <c r="J183" s="34" t="str">
        <f>_xlfn.XLOOKUP(A183,Employee_Master!A:A,Employee_Master!C:C)</f>
        <v>HR</v>
      </c>
      <c r="K183" s="48"/>
      <c r="L183" s="48"/>
      <c r="M183" s="48"/>
      <c r="N183" s="48"/>
      <c r="O183" s="48"/>
      <c r="P183" s="48"/>
      <c r="Q183" s="48"/>
      <c r="R183"/>
    </row>
    <row r="184" spans="1:18" hidden="1" x14ac:dyDescent="0.25">
      <c r="A184" s="33" t="s">
        <v>60</v>
      </c>
      <c r="B184" s="9" t="s">
        <v>84</v>
      </c>
      <c r="C184" s="24">
        <v>1</v>
      </c>
      <c r="D184" s="24">
        <v>0.9375</v>
      </c>
      <c r="E184" s="24">
        <v>6.6666666666666666E-2</v>
      </c>
      <c r="F184" s="24">
        <v>0</v>
      </c>
      <c r="G184" s="9">
        <f>_xlfn.XLOOKUP(A184,Employee_Master!A:A,Employee_Master!F:F)</f>
        <v>80497</v>
      </c>
      <c r="H184" s="29">
        <v>0</v>
      </c>
      <c r="I184" s="23" t="s">
        <v>156</v>
      </c>
      <c r="J184" s="34" t="str">
        <f>_xlfn.XLOOKUP(A184,Employee_Master!A:A,Employee_Master!C:C)</f>
        <v>Finance</v>
      </c>
      <c r="K184" s="48"/>
      <c r="L184" s="48"/>
      <c r="M184" s="48"/>
      <c r="N184" s="48"/>
      <c r="O184" s="48"/>
      <c r="P184" s="48"/>
      <c r="Q184" s="48"/>
      <c r="R184"/>
    </row>
    <row r="185" spans="1:18" x14ac:dyDescent="0.25">
      <c r="A185" s="33" t="s">
        <v>77</v>
      </c>
      <c r="B185" s="9" t="s">
        <v>87</v>
      </c>
      <c r="C185" s="24">
        <v>0.90909090909090906</v>
      </c>
      <c r="D185" s="24">
        <v>0.9375</v>
      </c>
      <c r="E185" s="24">
        <v>0.1111111111111111</v>
      </c>
      <c r="F185" s="24">
        <v>9.0909090909090912E-2</v>
      </c>
      <c r="G185" s="9">
        <f>_xlfn.XLOOKUP(A185,Employee_Master!A:A,Employee_Master!F:F)</f>
        <v>59133</v>
      </c>
      <c r="H185" s="29">
        <v>0</v>
      </c>
      <c r="I185" s="23" t="s">
        <v>157</v>
      </c>
      <c r="J185" s="34" t="str">
        <f>_xlfn.XLOOKUP(A185,Employee_Master!A:A,Employee_Master!C:C)</f>
        <v>HR</v>
      </c>
      <c r="K185" s="48"/>
      <c r="L185" s="48"/>
      <c r="M185" s="48"/>
      <c r="N185" s="48"/>
      <c r="O185" s="48"/>
      <c r="P185" s="48"/>
      <c r="Q185" s="48"/>
      <c r="R185"/>
    </row>
    <row r="186" spans="1:18" x14ac:dyDescent="0.25">
      <c r="A186" s="33" t="s">
        <v>53</v>
      </c>
      <c r="B186" s="9" t="s">
        <v>85</v>
      </c>
      <c r="C186" s="24">
        <v>0.77272727272727271</v>
      </c>
      <c r="D186" s="24">
        <v>0.93670886075949367</v>
      </c>
      <c r="E186" s="24">
        <v>2.7027027027027025E-2</v>
      </c>
      <c r="F186" s="24">
        <v>0.22727272727272727</v>
      </c>
      <c r="G186" s="9">
        <f>_xlfn.XLOOKUP(A186,Employee_Master!A:A,Employee_Master!F:F)</f>
        <v>71628</v>
      </c>
      <c r="H186" s="29">
        <v>0</v>
      </c>
      <c r="I186" s="23" t="s">
        <v>155</v>
      </c>
      <c r="J186" s="34" t="str">
        <f>_xlfn.XLOOKUP(A186,Employee_Master!A:A,Employee_Master!C:C)</f>
        <v>Finance</v>
      </c>
      <c r="K186" s="48"/>
      <c r="L186" s="48"/>
      <c r="M186" s="48"/>
      <c r="N186" s="48"/>
      <c r="O186" s="48"/>
      <c r="P186" s="48"/>
      <c r="Q186" s="48"/>
      <c r="R186"/>
    </row>
    <row r="187" spans="1:18" x14ac:dyDescent="0.25">
      <c r="A187" s="33" t="s">
        <v>56</v>
      </c>
      <c r="B187" s="9" t="s">
        <v>88</v>
      </c>
      <c r="C187" s="24">
        <v>0.90909090909090906</v>
      </c>
      <c r="D187" s="24">
        <v>0.93670886075949367</v>
      </c>
      <c r="E187" s="24">
        <v>5.405405405405405E-2</v>
      </c>
      <c r="F187" s="24">
        <v>9.0909090909090912E-2</v>
      </c>
      <c r="G187" s="9">
        <f>_xlfn.XLOOKUP(A187,Employee_Master!A:A,Employee_Master!F:F)</f>
        <v>89427</v>
      </c>
      <c r="H187" s="29">
        <v>0</v>
      </c>
      <c r="I187" s="23" t="s">
        <v>157</v>
      </c>
      <c r="J187" s="34" t="str">
        <f>_xlfn.XLOOKUP(A187,Employee_Master!A:A,Employee_Master!C:C)</f>
        <v>Sales</v>
      </c>
      <c r="K187" s="48"/>
      <c r="L187" s="48"/>
      <c r="M187" s="48"/>
      <c r="N187" s="48"/>
      <c r="O187" s="48"/>
      <c r="P187" s="48"/>
      <c r="Q187" s="48"/>
      <c r="R187"/>
    </row>
    <row r="188" spans="1:18" hidden="1" x14ac:dyDescent="0.25">
      <c r="A188" s="33" t="s">
        <v>58</v>
      </c>
      <c r="B188" s="9" t="s">
        <v>84</v>
      </c>
      <c r="C188" s="24">
        <v>1</v>
      </c>
      <c r="D188" s="24">
        <v>0.9358974358974359</v>
      </c>
      <c r="E188" s="24">
        <v>1.3698630136986301E-2</v>
      </c>
      <c r="F188" s="24">
        <v>0</v>
      </c>
      <c r="G188" s="9">
        <f>_xlfn.XLOOKUP(A188,Employee_Master!A:A,Employee_Master!F:F)</f>
        <v>55298</v>
      </c>
      <c r="H188" s="29">
        <v>0</v>
      </c>
      <c r="I188" s="23" t="s">
        <v>156</v>
      </c>
      <c r="J188" s="34" t="str">
        <f>_xlfn.XLOOKUP(A188,Employee_Master!A:A,Employee_Master!C:C)</f>
        <v>Finance</v>
      </c>
      <c r="K188" s="48"/>
      <c r="L188" s="48"/>
      <c r="M188" s="48"/>
      <c r="N188" s="48"/>
      <c r="O188" s="48"/>
      <c r="P188" s="48"/>
      <c r="Q188" s="48"/>
      <c r="R188"/>
    </row>
    <row r="189" spans="1:18" x14ac:dyDescent="0.25">
      <c r="A189" s="33" t="s">
        <v>74</v>
      </c>
      <c r="B189" s="9" t="s">
        <v>84</v>
      </c>
      <c r="C189" s="24">
        <v>0.90909090909090906</v>
      </c>
      <c r="D189" s="24">
        <v>0.9358974358974359</v>
      </c>
      <c r="E189" s="24">
        <v>0</v>
      </c>
      <c r="F189" s="24">
        <v>9.0909090909090912E-2</v>
      </c>
      <c r="G189" s="9">
        <f>_xlfn.XLOOKUP(A189,Employee_Master!A:A,Employee_Master!F:F)</f>
        <v>44020</v>
      </c>
      <c r="H189" s="29">
        <v>0</v>
      </c>
      <c r="I189" s="23" t="s">
        <v>157</v>
      </c>
      <c r="J189" s="34" t="str">
        <f>_xlfn.XLOOKUP(A189,Employee_Master!A:A,Employee_Master!C:C)</f>
        <v>IT</v>
      </c>
      <c r="K189" s="48"/>
      <c r="L189" s="48"/>
      <c r="M189" s="48"/>
      <c r="N189" s="48"/>
      <c r="O189" s="48"/>
      <c r="P189" s="48"/>
      <c r="Q189" s="48"/>
      <c r="R189"/>
    </row>
    <row r="190" spans="1:18" hidden="1" x14ac:dyDescent="0.25">
      <c r="A190" s="33" t="s">
        <v>31</v>
      </c>
      <c r="B190" s="9" t="s">
        <v>87</v>
      </c>
      <c r="C190" s="24">
        <v>0.95454545454545459</v>
      </c>
      <c r="D190" s="24">
        <v>0.93333333333333324</v>
      </c>
      <c r="E190" s="24">
        <v>0</v>
      </c>
      <c r="F190" s="24">
        <v>4.5454545454545456E-2</v>
      </c>
      <c r="G190" s="9">
        <f>_xlfn.XLOOKUP(A190,Employee_Master!A:A,Employee_Master!F:F)</f>
        <v>84043</v>
      </c>
      <c r="H190" s="29">
        <v>0</v>
      </c>
      <c r="I190" s="23" t="s">
        <v>156</v>
      </c>
      <c r="J190" s="34" t="str">
        <f>_xlfn.XLOOKUP(A190,Employee_Master!A:A,Employee_Master!C:C)</f>
        <v>HR</v>
      </c>
      <c r="K190" s="48"/>
      <c r="L190" s="48"/>
      <c r="M190" s="48"/>
      <c r="N190" s="48"/>
      <c r="O190" s="48"/>
      <c r="P190" s="48"/>
      <c r="Q190" s="48"/>
      <c r="R190"/>
    </row>
    <row r="191" spans="1:18" x14ac:dyDescent="0.25">
      <c r="A191" s="33" t="s">
        <v>34</v>
      </c>
      <c r="B191" s="9" t="s">
        <v>86</v>
      </c>
      <c r="C191" s="24">
        <v>0.72727272727272729</v>
      </c>
      <c r="D191" s="24">
        <v>0.93333333333333324</v>
      </c>
      <c r="E191" s="24">
        <v>3.5714285714285712E-2</v>
      </c>
      <c r="F191" s="24">
        <v>0.27272727272727271</v>
      </c>
      <c r="G191" s="9">
        <f>_xlfn.XLOOKUP(A191,Employee_Master!A:A,Employee_Master!F:F)</f>
        <v>45880</v>
      </c>
      <c r="H191" s="29">
        <v>0</v>
      </c>
      <c r="I191" s="23" t="s">
        <v>155</v>
      </c>
      <c r="J191" s="34" t="str">
        <f>_xlfn.XLOOKUP(A191,Employee_Master!A:A,Employee_Master!C:C)</f>
        <v>Sales</v>
      </c>
      <c r="K191" s="48"/>
      <c r="L191" s="48"/>
      <c r="M191" s="48"/>
      <c r="N191" s="48"/>
      <c r="O191" s="48"/>
      <c r="P191" s="48"/>
      <c r="Q191" s="48"/>
      <c r="R191"/>
    </row>
    <row r="192" spans="1:18" x14ac:dyDescent="0.25">
      <c r="A192" s="33" t="s">
        <v>55</v>
      </c>
      <c r="B192" s="9" t="s">
        <v>88</v>
      </c>
      <c r="C192" s="24">
        <v>0.72727272727272729</v>
      </c>
      <c r="D192" s="24">
        <v>0.93333333333333324</v>
      </c>
      <c r="E192" s="24">
        <v>0</v>
      </c>
      <c r="F192" s="24">
        <v>0.27272727272727271</v>
      </c>
      <c r="G192" s="9">
        <f>_xlfn.XLOOKUP(A192,Employee_Master!A:A,Employee_Master!F:F)</f>
        <v>79553</v>
      </c>
      <c r="H192" s="29">
        <v>0</v>
      </c>
      <c r="I192" s="23" t="s">
        <v>155</v>
      </c>
      <c r="J192" s="34" t="str">
        <f>_xlfn.XLOOKUP(A192,Employee_Master!A:A,Employee_Master!C:C)</f>
        <v>IT</v>
      </c>
      <c r="K192" s="48"/>
      <c r="L192" s="48"/>
      <c r="M192" s="48"/>
      <c r="N192" s="48"/>
      <c r="O192" s="48"/>
      <c r="P192" s="48"/>
      <c r="Q192" s="48"/>
      <c r="R192"/>
    </row>
    <row r="193" spans="1:18" x14ac:dyDescent="0.25">
      <c r="A193" s="33" t="s">
        <v>64</v>
      </c>
      <c r="B193" s="9" t="s">
        <v>88</v>
      </c>
      <c r="C193" s="24">
        <v>0.90909090909090906</v>
      </c>
      <c r="D193" s="24">
        <v>0.93333333333333324</v>
      </c>
      <c r="E193" s="24">
        <v>5.3571428571428568E-2</v>
      </c>
      <c r="F193" s="24">
        <v>9.0909090909090912E-2</v>
      </c>
      <c r="G193" s="9">
        <f>_xlfn.XLOOKUP(A193,Employee_Master!A:A,Employee_Master!F:F)</f>
        <v>37560</v>
      </c>
      <c r="H193" s="29">
        <v>0</v>
      </c>
      <c r="I193" s="23" t="s">
        <v>157</v>
      </c>
      <c r="J193" s="34" t="str">
        <f>_xlfn.XLOOKUP(A193,Employee_Master!A:A,Employee_Master!C:C)</f>
        <v>IT</v>
      </c>
      <c r="K193" s="48"/>
      <c r="L193" s="48"/>
      <c r="M193" s="48"/>
      <c r="N193" s="48"/>
      <c r="O193" s="48"/>
      <c r="P193" s="48"/>
      <c r="Q193" s="48"/>
      <c r="R193"/>
    </row>
    <row r="194" spans="1:18" x14ac:dyDescent="0.25">
      <c r="A194" s="33" t="s">
        <v>72</v>
      </c>
      <c r="B194" s="9" t="s">
        <v>83</v>
      </c>
      <c r="C194" s="24">
        <v>0.81818181818181823</v>
      </c>
      <c r="D194" s="24">
        <v>0.93333333333333324</v>
      </c>
      <c r="E194" s="24">
        <v>2.8571428571428571E-2</v>
      </c>
      <c r="F194" s="24">
        <v>0.18181818181818182</v>
      </c>
      <c r="G194" s="9">
        <f>_xlfn.XLOOKUP(A194,Employee_Master!A:A,Employee_Master!F:F)</f>
        <v>77876</v>
      </c>
      <c r="H194" s="29">
        <v>0</v>
      </c>
      <c r="I194" s="23" t="s">
        <v>155</v>
      </c>
      <c r="J194" s="34" t="str">
        <f>_xlfn.XLOOKUP(A194,Employee_Master!A:A,Employee_Master!C:C)</f>
        <v>Sales</v>
      </c>
      <c r="K194" s="48"/>
      <c r="L194" s="48"/>
      <c r="M194" s="48"/>
      <c r="N194" s="48"/>
      <c r="O194" s="48"/>
      <c r="P194" s="48"/>
      <c r="Q194" s="48"/>
      <c r="R194"/>
    </row>
    <row r="195" spans="1:18" hidden="1" x14ac:dyDescent="0.25">
      <c r="A195" s="33" t="s">
        <v>74</v>
      </c>
      <c r="B195" s="9" t="s">
        <v>88</v>
      </c>
      <c r="C195" s="24">
        <v>1</v>
      </c>
      <c r="D195" s="24">
        <v>0.93333333333333324</v>
      </c>
      <c r="E195" s="24">
        <v>7.1428571428571425E-2</v>
      </c>
      <c r="F195" s="24">
        <v>0</v>
      </c>
      <c r="G195" s="9">
        <f>_xlfn.XLOOKUP(A195,Employee_Master!A:A,Employee_Master!F:F)</f>
        <v>44020</v>
      </c>
      <c r="H195" s="29">
        <v>0</v>
      </c>
      <c r="I195" s="23" t="s">
        <v>156</v>
      </c>
      <c r="J195" s="34" t="str">
        <f>_xlfn.XLOOKUP(A195,Employee_Master!A:A,Employee_Master!C:C)</f>
        <v>IT</v>
      </c>
      <c r="K195" s="48"/>
      <c r="L195" s="48"/>
      <c r="M195" s="48"/>
      <c r="N195" s="48"/>
      <c r="O195" s="48"/>
      <c r="P195" s="48"/>
      <c r="Q195" s="48"/>
      <c r="R195"/>
    </row>
    <row r="196" spans="1:18" hidden="1" x14ac:dyDescent="0.25">
      <c r="A196" s="33" t="s">
        <v>39</v>
      </c>
      <c r="B196" s="9" t="s">
        <v>88</v>
      </c>
      <c r="C196" s="24">
        <v>1</v>
      </c>
      <c r="D196" s="24">
        <v>0.93150684931506844</v>
      </c>
      <c r="E196" s="24">
        <v>2.9411764705882349E-2</v>
      </c>
      <c r="F196" s="24">
        <v>0</v>
      </c>
      <c r="G196" s="9">
        <f>_xlfn.XLOOKUP(A196,Employee_Master!A:A,Employee_Master!F:F)</f>
        <v>89085</v>
      </c>
      <c r="H196" s="29">
        <v>0</v>
      </c>
      <c r="I196" s="23" t="s">
        <v>156</v>
      </c>
      <c r="J196" s="34" t="str">
        <f>_xlfn.XLOOKUP(A196,Employee_Master!A:A,Employee_Master!C:C)</f>
        <v>Sales</v>
      </c>
      <c r="K196" s="48"/>
      <c r="L196" s="48"/>
      <c r="M196" s="48"/>
      <c r="N196" s="48"/>
      <c r="O196" s="48"/>
      <c r="P196" s="48"/>
      <c r="Q196" s="48"/>
      <c r="R196"/>
    </row>
    <row r="197" spans="1:18" x14ac:dyDescent="0.25">
      <c r="A197" s="33" t="s">
        <v>74</v>
      </c>
      <c r="B197" s="9" t="s">
        <v>86</v>
      </c>
      <c r="C197" s="24">
        <v>0.86363636363636365</v>
      </c>
      <c r="D197" s="24">
        <v>0.93150684931506844</v>
      </c>
      <c r="E197" s="24">
        <v>2.9411764705882349E-2</v>
      </c>
      <c r="F197" s="24">
        <v>0.13636363636363635</v>
      </c>
      <c r="G197" s="9">
        <f>_xlfn.XLOOKUP(A197,Employee_Master!A:A,Employee_Master!F:F)</f>
        <v>44020</v>
      </c>
      <c r="H197" s="29">
        <v>0</v>
      </c>
      <c r="I197" s="23" t="s">
        <v>155</v>
      </c>
      <c r="J197" s="34" t="str">
        <f>_xlfn.XLOOKUP(A197,Employee_Master!A:A,Employee_Master!C:C)</f>
        <v>IT</v>
      </c>
      <c r="K197" s="48"/>
      <c r="L197" s="48"/>
      <c r="M197" s="48"/>
      <c r="N197" s="48"/>
      <c r="O197" s="48"/>
      <c r="P197" s="48"/>
      <c r="Q197" s="48"/>
      <c r="R197"/>
    </row>
    <row r="198" spans="1:18" x14ac:dyDescent="0.25">
      <c r="A198" s="33" t="s">
        <v>32</v>
      </c>
      <c r="B198" s="9" t="s">
        <v>86</v>
      </c>
      <c r="C198" s="24">
        <v>0.77272727272727271</v>
      </c>
      <c r="D198" s="24">
        <v>0.93103448275862066</v>
      </c>
      <c r="E198" s="24">
        <v>7.407407407407407E-2</v>
      </c>
      <c r="F198" s="24">
        <v>0.22727272727272727</v>
      </c>
      <c r="G198" s="9">
        <f>_xlfn.XLOOKUP(A198,Employee_Master!A:A,Employee_Master!F:F)</f>
        <v>80699</v>
      </c>
      <c r="H198" s="29">
        <v>0</v>
      </c>
      <c r="I198" s="23" t="s">
        <v>155</v>
      </c>
      <c r="J198" s="34" t="str">
        <f>_xlfn.XLOOKUP(A198,Employee_Master!A:A,Employee_Master!C:C)</f>
        <v>IT</v>
      </c>
      <c r="K198" s="48"/>
      <c r="L198" s="48"/>
      <c r="M198" s="48"/>
      <c r="N198" s="48"/>
      <c r="O198" s="48"/>
      <c r="P198" s="48"/>
      <c r="Q198" s="48"/>
      <c r="R198"/>
    </row>
    <row r="199" spans="1:18" x14ac:dyDescent="0.25">
      <c r="A199" s="33" t="s">
        <v>59</v>
      </c>
      <c r="B199" s="9" t="s">
        <v>88</v>
      </c>
      <c r="C199" s="24">
        <v>0.72727272727272729</v>
      </c>
      <c r="D199" s="24">
        <v>0.93103448275862066</v>
      </c>
      <c r="E199" s="24">
        <v>3.7037037037037035E-2</v>
      </c>
      <c r="F199" s="24">
        <v>0.27272727272727271</v>
      </c>
      <c r="G199" s="9">
        <f>_xlfn.XLOOKUP(A199,Employee_Master!A:A,Employee_Master!F:F)</f>
        <v>52765</v>
      </c>
      <c r="H199" s="29">
        <v>0</v>
      </c>
      <c r="I199" s="23" t="s">
        <v>155</v>
      </c>
      <c r="J199" s="34" t="str">
        <f>_xlfn.XLOOKUP(A199,Employee_Master!A:A,Employee_Master!C:C)</f>
        <v>IT</v>
      </c>
      <c r="K199" s="48"/>
      <c r="L199" s="48"/>
      <c r="M199" s="48"/>
      <c r="N199" s="48"/>
      <c r="O199" s="48"/>
      <c r="P199" s="48"/>
      <c r="Q199" s="48"/>
      <c r="R199"/>
    </row>
    <row r="200" spans="1:18" hidden="1" x14ac:dyDescent="0.25">
      <c r="A200" s="33" t="s">
        <v>62</v>
      </c>
      <c r="B200" s="9" t="s">
        <v>83</v>
      </c>
      <c r="C200" s="24">
        <v>0.95454545454545459</v>
      </c>
      <c r="D200" s="24">
        <v>0.92982456140350878</v>
      </c>
      <c r="E200" s="24">
        <v>0</v>
      </c>
      <c r="F200" s="24">
        <v>4.5454545454545456E-2</v>
      </c>
      <c r="G200" s="9">
        <f>_xlfn.XLOOKUP(A200,Employee_Master!A:A,Employee_Master!F:F)</f>
        <v>83035</v>
      </c>
      <c r="H200" s="29">
        <v>0</v>
      </c>
      <c r="I200" s="23" t="s">
        <v>156</v>
      </c>
      <c r="J200" s="34" t="str">
        <f>_xlfn.XLOOKUP(A200,Employee_Master!A:A,Employee_Master!C:C)</f>
        <v>HR</v>
      </c>
      <c r="K200" s="48"/>
      <c r="L200" s="48"/>
      <c r="M200" s="48"/>
      <c r="N200" s="48"/>
      <c r="O200" s="48"/>
      <c r="P200" s="48"/>
      <c r="Q200" s="48"/>
      <c r="R200"/>
    </row>
    <row r="201" spans="1:18" x14ac:dyDescent="0.25">
      <c r="A201" s="33" t="s">
        <v>68</v>
      </c>
      <c r="B201" s="9" t="s">
        <v>83</v>
      </c>
      <c r="C201" s="24">
        <v>0.81818181818181823</v>
      </c>
      <c r="D201" s="24">
        <v>0.92957746478873238</v>
      </c>
      <c r="E201" s="24">
        <v>1.5151515151515152E-2</v>
      </c>
      <c r="F201" s="24">
        <v>0.18181818181818182</v>
      </c>
      <c r="G201" s="9">
        <f>_xlfn.XLOOKUP(A201,Employee_Master!A:A,Employee_Master!F:F)</f>
        <v>62782</v>
      </c>
      <c r="H201" s="29">
        <v>0</v>
      </c>
      <c r="I201" s="23" t="s">
        <v>155</v>
      </c>
      <c r="J201" s="34" t="str">
        <f>_xlfn.XLOOKUP(A201,Employee_Master!A:A,Employee_Master!C:C)</f>
        <v>Sales</v>
      </c>
      <c r="K201" s="48"/>
      <c r="L201" s="48"/>
      <c r="M201" s="48"/>
      <c r="N201" s="48"/>
      <c r="O201" s="48"/>
      <c r="P201" s="48"/>
      <c r="Q201" s="48"/>
      <c r="R201"/>
    </row>
    <row r="202" spans="1:18" x14ac:dyDescent="0.25">
      <c r="A202" s="33" t="s">
        <v>61</v>
      </c>
      <c r="B202" s="9" t="s">
        <v>87</v>
      </c>
      <c r="C202" s="24">
        <v>0.72727272727272729</v>
      </c>
      <c r="D202" s="24">
        <v>0.9285714285714286</v>
      </c>
      <c r="E202" s="24">
        <v>0</v>
      </c>
      <c r="F202" s="24">
        <v>0.27272727272727271</v>
      </c>
      <c r="G202" s="9">
        <f>_xlfn.XLOOKUP(A202,Employee_Master!A:A,Employee_Master!F:F)</f>
        <v>54123</v>
      </c>
      <c r="H202" s="29">
        <v>0</v>
      </c>
      <c r="I202" s="23" t="s">
        <v>155</v>
      </c>
      <c r="J202" s="34" t="str">
        <f>_xlfn.XLOOKUP(A202,Employee_Master!A:A,Employee_Master!C:C)</f>
        <v>HR</v>
      </c>
      <c r="K202" s="48"/>
      <c r="L202" s="48"/>
      <c r="M202" s="48"/>
      <c r="N202" s="48"/>
      <c r="O202" s="48"/>
      <c r="P202" s="48"/>
      <c r="Q202" s="48"/>
      <c r="R202"/>
    </row>
    <row r="203" spans="1:18" x14ac:dyDescent="0.25">
      <c r="A203" s="33" t="s">
        <v>65</v>
      </c>
      <c r="B203" s="9" t="s">
        <v>87</v>
      </c>
      <c r="C203" s="24">
        <v>0.81818181818181823</v>
      </c>
      <c r="D203" s="24">
        <v>0.9285714285714286</v>
      </c>
      <c r="E203" s="24">
        <v>4.6153846153846156E-2</v>
      </c>
      <c r="F203" s="24">
        <v>0.18181818181818182</v>
      </c>
      <c r="G203" s="9">
        <f>_xlfn.XLOOKUP(A203,Employee_Master!A:A,Employee_Master!F:F)</f>
        <v>36399</v>
      </c>
      <c r="H203" s="29">
        <v>0</v>
      </c>
      <c r="I203" s="23" t="s">
        <v>155</v>
      </c>
      <c r="J203" s="34" t="str">
        <f>_xlfn.XLOOKUP(A203,Employee_Master!A:A,Employee_Master!C:C)</f>
        <v>Finance</v>
      </c>
      <c r="K203" s="48"/>
      <c r="L203" s="48"/>
      <c r="M203" s="48"/>
      <c r="N203" s="48"/>
      <c r="O203" s="48"/>
      <c r="P203" s="48"/>
      <c r="Q203" s="48"/>
      <c r="R203"/>
    </row>
    <row r="204" spans="1:18" x14ac:dyDescent="0.25">
      <c r="A204" s="33" t="s">
        <v>66</v>
      </c>
      <c r="B204" s="9" t="s">
        <v>84</v>
      </c>
      <c r="C204" s="24">
        <v>0.77272727272727271</v>
      </c>
      <c r="D204" s="24">
        <v>0.9285714285714286</v>
      </c>
      <c r="E204" s="24">
        <v>0</v>
      </c>
      <c r="F204" s="24">
        <v>0.22727272727272727</v>
      </c>
      <c r="G204" s="9">
        <f>_xlfn.XLOOKUP(A204,Employee_Master!A:A,Employee_Master!F:F)</f>
        <v>35728</v>
      </c>
      <c r="H204" s="29">
        <v>0</v>
      </c>
      <c r="I204" s="23" t="s">
        <v>155</v>
      </c>
      <c r="J204" s="34" t="str">
        <f>_xlfn.XLOOKUP(A204,Employee_Master!A:A,Employee_Master!C:C)</f>
        <v>Finance</v>
      </c>
      <c r="K204" s="48"/>
      <c r="L204" s="48"/>
      <c r="M204" s="48"/>
      <c r="N204" s="48"/>
      <c r="O204" s="48"/>
      <c r="P204" s="48"/>
      <c r="Q204" s="48"/>
      <c r="R204"/>
    </row>
    <row r="205" spans="1:18" x14ac:dyDescent="0.25">
      <c r="A205" s="33" t="s">
        <v>71</v>
      </c>
      <c r="B205" s="9" t="s">
        <v>86</v>
      </c>
      <c r="C205" s="24">
        <v>0.90909090909090906</v>
      </c>
      <c r="D205" s="24">
        <v>0.9285714285714286</v>
      </c>
      <c r="E205" s="24">
        <v>5.7692307692307689E-2</v>
      </c>
      <c r="F205" s="24">
        <v>9.0909090909090912E-2</v>
      </c>
      <c r="G205" s="9">
        <f>_xlfn.XLOOKUP(A205,Employee_Master!A:A,Employee_Master!F:F)</f>
        <v>46149</v>
      </c>
      <c r="H205" s="29">
        <v>0</v>
      </c>
      <c r="I205" s="23" t="s">
        <v>157</v>
      </c>
      <c r="J205" s="34" t="str">
        <f>_xlfn.XLOOKUP(A205,Employee_Master!A:A,Employee_Master!C:C)</f>
        <v>IT</v>
      </c>
      <c r="K205" s="48"/>
      <c r="L205" s="48"/>
      <c r="M205" s="48"/>
      <c r="N205" s="48"/>
      <c r="O205" s="48"/>
      <c r="P205" s="48"/>
      <c r="Q205" s="48"/>
      <c r="R205"/>
    </row>
    <row r="206" spans="1:18" x14ac:dyDescent="0.25">
      <c r="A206" s="33" t="s">
        <v>34</v>
      </c>
      <c r="B206" s="9" t="s">
        <v>83</v>
      </c>
      <c r="C206" s="24">
        <v>0.72727272727272729</v>
      </c>
      <c r="D206" s="24">
        <v>0.92771084337349397</v>
      </c>
      <c r="E206" s="24">
        <v>5.1948051948051945E-2</v>
      </c>
      <c r="F206" s="24">
        <v>0.27272727272727271</v>
      </c>
      <c r="G206" s="9">
        <f>_xlfn.XLOOKUP(A206,Employee_Master!A:A,Employee_Master!F:F)</f>
        <v>45880</v>
      </c>
      <c r="H206" s="29">
        <v>0</v>
      </c>
      <c r="I206" s="23" t="s">
        <v>155</v>
      </c>
      <c r="J206" s="34" t="str">
        <f>_xlfn.XLOOKUP(A206,Employee_Master!A:A,Employee_Master!C:C)</f>
        <v>Sales</v>
      </c>
      <c r="K206" s="48"/>
      <c r="L206" s="48"/>
      <c r="M206" s="48"/>
      <c r="N206" s="48"/>
      <c r="O206" s="48"/>
      <c r="P206" s="48"/>
      <c r="Q206" s="48"/>
      <c r="R206"/>
    </row>
    <row r="207" spans="1:18" x14ac:dyDescent="0.25">
      <c r="A207" s="33" t="s">
        <v>48</v>
      </c>
      <c r="B207" s="9" t="s">
        <v>83</v>
      </c>
      <c r="C207" s="24">
        <v>0.81818181818181823</v>
      </c>
      <c r="D207" s="24">
        <v>0.92727272727272725</v>
      </c>
      <c r="E207" s="24">
        <v>0</v>
      </c>
      <c r="F207" s="24">
        <v>0.18181818181818182</v>
      </c>
      <c r="G207" s="9">
        <f>_xlfn.XLOOKUP(A207,Employee_Master!A:A,Employee_Master!F:F)</f>
        <v>75277</v>
      </c>
      <c r="H207" s="29">
        <v>0</v>
      </c>
      <c r="I207" s="23" t="s">
        <v>155</v>
      </c>
      <c r="J207" s="34" t="str">
        <f>_xlfn.XLOOKUP(A207,Employee_Master!A:A,Employee_Master!C:C)</f>
        <v>HR</v>
      </c>
      <c r="K207" s="48"/>
      <c r="L207" s="48"/>
      <c r="M207" s="48"/>
      <c r="N207" s="48"/>
      <c r="O207" s="48"/>
      <c r="P207" s="48"/>
      <c r="Q207" s="48"/>
      <c r="R207"/>
    </row>
    <row r="208" spans="1:18" x14ac:dyDescent="0.25">
      <c r="A208" s="33" t="s">
        <v>49</v>
      </c>
      <c r="B208" s="9" t="s">
        <v>84</v>
      </c>
      <c r="C208" s="24">
        <v>0.86363636363636365</v>
      </c>
      <c r="D208" s="24">
        <v>0.92727272727272725</v>
      </c>
      <c r="E208" s="24">
        <v>9.8039215686274522E-2</v>
      </c>
      <c r="F208" s="24">
        <v>0.13636363636363635</v>
      </c>
      <c r="G208" s="9">
        <f>_xlfn.XLOOKUP(A208,Employee_Master!A:A,Employee_Master!F:F)</f>
        <v>74159</v>
      </c>
      <c r="H208" s="29">
        <v>0</v>
      </c>
      <c r="I208" s="23" t="s">
        <v>155</v>
      </c>
      <c r="J208" s="34" t="str">
        <f>_xlfn.XLOOKUP(A208,Employee_Master!A:A,Employee_Master!C:C)</f>
        <v>HR</v>
      </c>
      <c r="K208" s="48"/>
      <c r="L208" s="48"/>
      <c r="M208" s="48"/>
      <c r="N208" s="48"/>
      <c r="O208" s="48"/>
      <c r="P208" s="48"/>
      <c r="Q208" s="48"/>
      <c r="R208"/>
    </row>
    <row r="209" spans="1:18" x14ac:dyDescent="0.25">
      <c r="A209" s="33" t="s">
        <v>75</v>
      </c>
      <c r="B209" s="9" t="s">
        <v>85</v>
      </c>
      <c r="C209" s="24">
        <v>0.86363636363636365</v>
      </c>
      <c r="D209" s="24">
        <v>0.92727272727272725</v>
      </c>
      <c r="E209" s="24">
        <v>1.9607843137254902E-2</v>
      </c>
      <c r="F209" s="24">
        <v>0.13636363636363635</v>
      </c>
      <c r="G209" s="9">
        <f>_xlfn.XLOOKUP(A209,Employee_Master!A:A,Employee_Master!F:F)</f>
        <v>82692</v>
      </c>
      <c r="H209" s="29">
        <v>0</v>
      </c>
      <c r="I209" s="23" t="s">
        <v>155</v>
      </c>
      <c r="J209" s="34" t="str">
        <f>_xlfn.XLOOKUP(A209,Employee_Master!A:A,Employee_Master!C:C)</f>
        <v>IT</v>
      </c>
      <c r="K209" s="48"/>
      <c r="L209" s="48"/>
      <c r="M209" s="48"/>
      <c r="N209" s="48"/>
      <c r="O209" s="48"/>
      <c r="P209" s="48"/>
      <c r="Q209" s="48"/>
      <c r="R209"/>
    </row>
    <row r="210" spans="1:18" x14ac:dyDescent="0.25">
      <c r="A210" s="33" t="s">
        <v>26</v>
      </c>
      <c r="B210" s="9" t="s">
        <v>88</v>
      </c>
      <c r="C210" s="24">
        <v>0.90909090909090906</v>
      </c>
      <c r="D210" s="24">
        <v>0.92682926829268297</v>
      </c>
      <c r="E210" s="24">
        <v>3.9473684210526314E-2</v>
      </c>
      <c r="F210" s="24">
        <v>9.0909090909090912E-2</v>
      </c>
      <c r="G210" s="9">
        <f>_xlfn.XLOOKUP(A210,Employee_Master!A:A,Employee_Master!F:F)</f>
        <v>42012</v>
      </c>
      <c r="H210" s="29">
        <v>0</v>
      </c>
      <c r="I210" s="23" t="s">
        <v>157</v>
      </c>
      <c r="J210" s="34" t="str">
        <f>_xlfn.XLOOKUP(A210,Employee_Master!A:A,Employee_Master!C:C)</f>
        <v>Sales</v>
      </c>
      <c r="K210" s="48"/>
      <c r="L210" s="48"/>
      <c r="M210" s="48"/>
      <c r="N210" s="48"/>
      <c r="O210" s="48"/>
      <c r="P210" s="48"/>
      <c r="Q210" s="48"/>
      <c r="R210"/>
    </row>
    <row r="211" spans="1:18" x14ac:dyDescent="0.25">
      <c r="A211" s="33" t="s">
        <v>52</v>
      </c>
      <c r="B211" s="9" t="s">
        <v>83</v>
      </c>
      <c r="C211" s="24">
        <v>0.77272727272727271</v>
      </c>
      <c r="D211" s="24">
        <v>0.92682926829268297</v>
      </c>
      <c r="E211" s="24">
        <v>6.5789473684210523E-2</v>
      </c>
      <c r="F211" s="24">
        <v>0.22727272727272727</v>
      </c>
      <c r="G211" s="9">
        <f>_xlfn.XLOOKUP(A211,Employee_Master!A:A,Employee_Master!F:F)</f>
        <v>65366</v>
      </c>
      <c r="H211" s="29">
        <v>0</v>
      </c>
      <c r="I211" s="23" t="s">
        <v>155</v>
      </c>
      <c r="J211" s="34" t="str">
        <f>_xlfn.XLOOKUP(A211,Employee_Master!A:A,Employee_Master!C:C)</f>
        <v>Finance</v>
      </c>
      <c r="K211" s="48"/>
      <c r="L211" s="48"/>
      <c r="M211" s="48"/>
      <c r="N211" s="48"/>
      <c r="O211" s="48"/>
      <c r="P211" s="48"/>
      <c r="Q211" s="48"/>
      <c r="R211"/>
    </row>
    <row r="212" spans="1:18" x14ac:dyDescent="0.25">
      <c r="A212" s="33" t="s">
        <v>57</v>
      </c>
      <c r="B212" s="9" t="s">
        <v>87</v>
      </c>
      <c r="C212" s="24">
        <v>0.95454545454545459</v>
      </c>
      <c r="D212" s="24">
        <v>0.92682926829268297</v>
      </c>
      <c r="E212" s="24">
        <v>0.10526315789473684</v>
      </c>
      <c r="F212" s="24">
        <v>4.5454545454545456E-2</v>
      </c>
      <c r="G212" s="9">
        <f>_xlfn.XLOOKUP(A212,Employee_Master!A:A,Employee_Master!F:F)</f>
        <v>71787</v>
      </c>
      <c r="H212" s="29">
        <v>0</v>
      </c>
      <c r="I212" s="23" t="s">
        <v>157</v>
      </c>
      <c r="J212" s="34" t="str">
        <f>_xlfn.XLOOKUP(A212,Employee_Master!A:A,Employee_Master!C:C)</f>
        <v>HR</v>
      </c>
      <c r="K212" s="48"/>
      <c r="L212" s="48"/>
      <c r="M212" s="48"/>
      <c r="N212" s="48"/>
      <c r="O212" s="48"/>
      <c r="P212" s="48"/>
      <c r="Q212" s="48"/>
      <c r="R212"/>
    </row>
    <row r="213" spans="1:18" x14ac:dyDescent="0.25">
      <c r="A213" s="33" t="s">
        <v>69</v>
      </c>
      <c r="B213" s="9" t="s">
        <v>84</v>
      </c>
      <c r="C213" s="24">
        <v>0.77272727272727271</v>
      </c>
      <c r="D213" s="24">
        <v>0.92682926829268297</v>
      </c>
      <c r="E213" s="24">
        <v>0</v>
      </c>
      <c r="F213" s="24">
        <v>0.22727272727272727</v>
      </c>
      <c r="G213" s="9">
        <f>_xlfn.XLOOKUP(A213,Employee_Master!A:A,Employee_Master!F:F)</f>
        <v>40435</v>
      </c>
      <c r="H213" s="29">
        <v>0</v>
      </c>
      <c r="I213" s="23" t="s">
        <v>155</v>
      </c>
      <c r="J213" s="34" t="str">
        <f>_xlfn.XLOOKUP(A213,Employee_Master!A:A,Employee_Master!C:C)</f>
        <v>Sales</v>
      </c>
      <c r="K213" s="48"/>
      <c r="L213" s="48"/>
      <c r="M213" s="48"/>
      <c r="N213" s="48"/>
      <c r="O213" s="48"/>
      <c r="P213" s="48"/>
      <c r="Q213" s="48"/>
      <c r="R213"/>
    </row>
    <row r="214" spans="1:18" hidden="1" x14ac:dyDescent="0.25">
      <c r="A214" s="33" t="s">
        <v>31</v>
      </c>
      <c r="B214" s="9" t="s">
        <v>83</v>
      </c>
      <c r="C214" s="24">
        <v>1</v>
      </c>
      <c r="D214" s="24">
        <v>0.92647058823529416</v>
      </c>
      <c r="E214" s="24">
        <v>6.3492063492063489E-2</v>
      </c>
      <c r="F214" s="24">
        <v>0</v>
      </c>
      <c r="G214" s="9">
        <f>_xlfn.XLOOKUP(A214,Employee_Master!A:A,Employee_Master!F:F)</f>
        <v>84043</v>
      </c>
      <c r="H214" s="29">
        <v>0</v>
      </c>
      <c r="I214" s="23" t="s">
        <v>156</v>
      </c>
      <c r="J214" s="34" t="str">
        <f>_xlfn.XLOOKUP(A214,Employee_Master!A:A,Employee_Master!C:C)</f>
        <v>HR</v>
      </c>
      <c r="K214" s="48"/>
      <c r="L214" s="48"/>
      <c r="M214" s="48"/>
      <c r="N214" s="48"/>
      <c r="O214" s="48"/>
      <c r="P214" s="48"/>
      <c r="Q214" s="48"/>
      <c r="R214"/>
    </row>
    <row r="215" spans="1:18" x14ac:dyDescent="0.25">
      <c r="A215" s="33" t="s">
        <v>31</v>
      </c>
      <c r="B215" s="9" t="s">
        <v>84</v>
      </c>
      <c r="C215" s="24">
        <v>0.81818181818181823</v>
      </c>
      <c r="D215" s="24">
        <v>0.92647058823529416</v>
      </c>
      <c r="E215" s="24">
        <v>4.7619047619047616E-2</v>
      </c>
      <c r="F215" s="24">
        <v>0.18181818181818182</v>
      </c>
      <c r="G215" s="9">
        <f>_xlfn.XLOOKUP(A215,Employee_Master!A:A,Employee_Master!F:F)</f>
        <v>84043</v>
      </c>
      <c r="H215" s="29">
        <v>0</v>
      </c>
      <c r="I215" s="23" t="s">
        <v>155</v>
      </c>
      <c r="J215" s="34" t="str">
        <f>_xlfn.XLOOKUP(A215,Employee_Master!A:A,Employee_Master!C:C)</f>
        <v>HR</v>
      </c>
      <c r="K215" s="48"/>
      <c r="L215" s="48"/>
      <c r="M215" s="48"/>
      <c r="N215" s="48"/>
      <c r="O215" s="48"/>
      <c r="P215" s="48"/>
      <c r="Q215" s="48"/>
      <c r="R215"/>
    </row>
    <row r="216" spans="1:18" x14ac:dyDescent="0.25">
      <c r="A216" s="33" t="s">
        <v>13</v>
      </c>
      <c r="B216" s="9" t="s">
        <v>87</v>
      </c>
      <c r="C216" s="24">
        <v>0.72727272727272729</v>
      </c>
      <c r="D216" s="24">
        <v>0.92592592592592593</v>
      </c>
      <c r="E216" s="24">
        <v>1.3333333333333334E-2</v>
      </c>
      <c r="F216" s="24">
        <v>0.27272727272727271</v>
      </c>
      <c r="G216" s="9">
        <f>_xlfn.XLOOKUP(A216,Employee_Master!A:A,Employee_Master!F:F)</f>
        <v>66433</v>
      </c>
      <c r="H216" s="29">
        <v>0</v>
      </c>
      <c r="I216" s="23" t="s">
        <v>155</v>
      </c>
      <c r="J216" s="34" t="str">
        <f>_xlfn.XLOOKUP(A216,Employee_Master!A:A,Employee_Master!C:C)</f>
        <v>Sales</v>
      </c>
      <c r="K216" s="48"/>
      <c r="L216" s="48"/>
      <c r="M216" s="48"/>
      <c r="N216" s="48"/>
      <c r="O216" s="48"/>
      <c r="P216" s="48"/>
      <c r="Q216" s="48"/>
      <c r="R216"/>
    </row>
    <row r="217" spans="1:18" x14ac:dyDescent="0.25">
      <c r="A217" s="33" t="s">
        <v>43</v>
      </c>
      <c r="B217" s="9" t="s">
        <v>84</v>
      </c>
      <c r="C217" s="24">
        <v>0.72727272727272729</v>
      </c>
      <c r="D217" s="24">
        <v>0.92592592592592593</v>
      </c>
      <c r="E217" s="24">
        <v>0</v>
      </c>
      <c r="F217" s="24">
        <v>0.27272727272727271</v>
      </c>
      <c r="G217" s="9">
        <f>_xlfn.XLOOKUP(A217,Employee_Master!A:A,Employee_Master!F:F)</f>
        <v>59857</v>
      </c>
      <c r="H217" s="29">
        <v>0</v>
      </c>
      <c r="I217" s="23" t="s">
        <v>155</v>
      </c>
      <c r="J217" s="34" t="str">
        <f>_xlfn.XLOOKUP(A217,Employee_Master!A:A,Employee_Master!C:C)</f>
        <v>Finance</v>
      </c>
      <c r="K217" s="48"/>
      <c r="L217" s="48"/>
      <c r="M217" s="48"/>
      <c r="N217" s="48"/>
      <c r="O217" s="48"/>
      <c r="P217" s="48"/>
      <c r="Q217" s="48"/>
      <c r="R217"/>
    </row>
    <row r="218" spans="1:18" hidden="1" x14ac:dyDescent="0.25">
      <c r="A218" s="33" t="s">
        <v>69</v>
      </c>
      <c r="B218" s="9" t="s">
        <v>87</v>
      </c>
      <c r="C218" s="24">
        <v>0.95454545454545459</v>
      </c>
      <c r="D218" s="24">
        <v>0.92592592592592593</v>
      </c>
      <c r="E218" s="24">
        <v>0.06</v>
      </c>
      <c r="F218" s="24">
        <v>4.5454545454545456E-2</v>
      </c>
      <c r="G218" s="9">
        <f>_xlfn.XLOOKUP(A218,Employee_Master!A:A,Employee_Master!F:F)</f>
        <v>40435</v>
      </c>
      <c r="H218" s="29">
        <v>0</v>
      </c>
      <c r="I218" s="23" t="s">
        <v>156</v>
      </c>
      <c r="J218" s="34" t="str">
        <f>_xlfn.XLOOKUP(A218,Employee_Master!A:A,Employee_Master!C:C)</f>
        <v>Sales</v>
      </c>
      <c r="K218" s="48"/>
      <c r="L218" s="48"/>
      <c r="M218" s="48"/>
      <c r="N218" s="48"/>
      <c r="O218" s="48"/>
      <c r="P218" s="48"/>
      <c r="Q218" s="48"/>
      <c r="R218"/>
    </row>
    <row r="219" spans="1:18" x14ac:dyDescent="0.25">
      <c r="A219" s="33" t="s">
        <v>54</v>
      </c>
      <c r="B219" s="9" t="s">
        <v>88</v>
      </c>
      <c r="C219" s="24">
        <v>0.77272727272727271</v>
      </c>
      <c r="D219" s="24">
        <v>0.9242424242424242</v>
      </c>
      <c r="E219" s="24">
        <v>1.6393442622950821E-2</v>
      </c>
      <c r="F219" s="24">
        <v>0.22727272727272727</v>
      </c>
      <c r="G219" s="9">
        <f>_xlfn.XLOOKUP(A219,Employee_Master!A:A,Employee_Master!F:F)</f>
        <v>61425</v>
      </c>
      <c r="H219" s="29">
        <v>0</v>
      </c>
      <c r="I219" s="23" t="s">
        <v>155</v>
      </c>
      <c r="J219" s="34" t="str">
        <f>_xlfn.XLOOKUP(A219,Employee_Master!A:A,Employee_Master!C:C)</f>
        <v>Finance</v>
      </c>
      <c r="K219" s="48"/>
      <c r="L219" s="48"/>
      <c r="M219" s="48"/>
      <c r="N219" s="48"/>
      <c r="O219" s="48"/>
      <c r="P219" s="48"/>
      <c r="Q219" s="48"/>
      <c r="R219"/>
    </row>
    <row r="220" spans="1:18" x14ac:dyDescent="0.25">
      <c r="A220" s="33" t="s">
        <v>36</v>
      </c>
      <c r="B220" s="9" t="s">
        <v>88</v>
      </c>
      <c r="C220" s="24">
        <v>0.72727272727272729</v>
      </c>
      <c r="D220" s="24">
        <v>0.92307692307692302</v>
      </c>
      <c r="E220" s="24">
        <v>8.3333333333333315E-2</v>
      </c>
      <c r="F220" s="24">
        <v>0.27272727272727271</v>
      </c>
      <c r="G220" s="9">
        <f>_xlfn.XLOOKUP(A220,Employee_Master!A:A,Employee_Master!F:F)</f>
        <v>42493</v>
      </c>
      <c r="H220" s="29">
        <v>0</v>
      </c>
      <c r="I220" s="23" t="s">
        <v>155</v>
      </c>
      <c r="J220" s="34" t="str">
        <f>_xlfn.XLOOKUP(A220,Employee_Master!A:A,Employee_Master!C:C)</f>
        <v>IT</v>
      </c>
      <c r="K220" s="48"/>
      <c r="L220" s="48"/>
      <c r="M220" s="48"/>
      <c r="N220" s="48"/>
      <c r="O220" s="48"/>
      <c r="P220" s="48"/>
      <c r="Q220" s="48"/>
      <c r="R220"/>
    </row>
    <row r="221" spans="1:18" x14ac:dyDescent="0.25">
      <c r="A221" s="33" t="s">
        <v>47</v>
      </c>
      <c r="B221" s="9" t="s">
        <v>83</v>
      </c>
      <c r="C221" s="24">
        <v>0.86363636363636365</v>
      </c>
      <c r="D221" s="24">
        <v>0.92307692307692302</v>
      </c>
      <c r="E221" s="24">
        <v>0.1388888888888889</v>
      </c>
      <c r="F221" s="24">
        <v>0.13636363636363635</v>
      </c>
      <c r="G221" s="9">
        <f>_xlfn.XLOOKUP(A221,Employee_Master!A:A,Employee_Master!F:F)</f>
        <v>84504</v>
      </c>
      <c r="H221" s="29">
        <v>0</v>
      </c>
      <c r="I221" s="23" t="s">
        <v>155</v>
      </c>
      <c r="J221" s="34" t="str">
        <f>_xlfn.XLOOKUP(A221,Employee_Master!A:A,Employee_Master!C:C)</f>
        <v>Finance</v>
      </c>
      <c r="K221" s="48"/>
      <c r="L221" s="48"/>
      <c r="M221" s="48"/>
      <c r="N221" s="48"/>
      <c r="O221" s="48"/>
      <c r="P221" s="48"/>
      <c r="Q221" s="48"/>
      <c r="R221"/>
    </row>
    <row r="222" spans="1:18" x14ac:dyDescent="0.25">
      <c r="A222" s="33" t="s">
        <v>47</v>
      </c>
      <c r="B222" s="9" t="s">
        <v>86</v>
      </c>
      <c r="C222" s="24">
        <v>0.72727272727272729</v>
      </c>
      <c r="D222" s="24">
        <v>0.92307692307692302</v>
      </c>
      <c r="E222" s="24">
        <v>5.5555555555555552E-2</v>
      </c>
      <c r="F222" s="24">
        <v>0.27272727272727271</v>
      </c>
      <c r="G222" s="9">
        <f>_xlfn.XLOOKUP(A222,Employee_Master!A:A,Employee_Master!F:F)</f>
        <v>84504</v>
      </c>
      <c r="H222" s="29">
        <v>0</v>
      </c>
      <c r="I222" s="23" t="s">
        <v>155</v>
      </c>
      <c r="J222" s="34" t="str">
        <f>_xlfn.XLOOKUP(A222,Employee_Master!A:A,Employee_Master!C:C)</f>
        <v>Finance</v>
      </c>
      <c r="K222" s="48"/>
      <c r="L222" s="48"/>
      <c r="M222" s="48"/>
      <c r="N222" s="48"/>
      <c r="O222" s="48"/>
      <c r="P222" s="48"/>
      <c r="Q222" s="48"/>
      <c r="R222"/>
    </row>
    <row r="223" spans="1:18" x14ac:dyDescent="0.25">
      <c r="A223" s="33" t="s">
        <v>59</v>
      </c>
      <c r="B223" s="9" t="s">
        <v>85</v>
      </c>
      <c r="C223" s="24">
        <v>0.81818181818181823</v>
      </c>
      <c r="D223" s="24">
        <v>0.92307692307692302</v>
      </c>
      <c r="E223" s="24">
        <v>0.05</v>
      </c>
      <c r="F223" s="24">
        <v>0.18181818181818182</v>
      </c>
      <c r="G223" s="9">
        <f>_xlfn.XLOOKUP(A223,Employee_Master!A:A,Employee_Master!F:F)</f>
        <v>52765</v>
      </c>
      <c r="H223" s="29">
        <v>0</v>
      </c>
      <c r="I223" s="23" t="s">
        <v>155</v>
      </c>
      <c r="J223" s="34" t="str">
        <f>_xlfn.XLOOKUP(A223,Employee_Master!A:A,Employee_Master!C:C)</f>
        <v>IT</v>
      </c>
      <c r="K223" s="48"/>
      <c r="L223" s="48"/>
      <c r="M223" s="48"/>
      <c r="N223" s="48"/>
      <c r="O223" s="48"/>
      <c r="P223" s="48"/>
      <c r="Q223" s="48"/>
      <c r="R223"/>
    </row>
    <row r="224" spans="1:18" x14ac:dyDescent="0.25">
      <c r="A224" s="33" t="s">
        <v>13</v>
      </c>
      <c r="B224" s="9" t="s">
        <v>86</v>
      </c>
      <c r="C224" s="24">
        <v>0.86363636363636365</v>
      </c>
      <c r="D224" s="24">
        <v>0.92207792207792205</v>
      </c>
      <c r="E224" s="24">
        <v>7.0422535211267609E-2</v>
      </c>
      <c r="F224" s="24">
        <v>0.13636363636363635</v>
      </c>
      <c r="G224" s="9">
        <f>_xlfn.XLOOKUP(A224,Employee_Master!A:A,Employee_Master!F:F)</f>
        <v>66433</v>
      </c>
      <c r="H224" s="29">
        <v>0</v>
      </c>
      <c r="I224" s="23" t="s">
        <v>155</v>
      </c>
      <c r="J224" s="34" t="str">
        <f>_xlfn.XLOOKUP(A224,Employee_Master!A:A,Employee_Master!C:C)</f>
        <v>Sales</v>
      </c>
      <c r="K224" s="48"/>
      <c r="L224" s="48"/>
      <c r="M224" s="48"/>
      <c r="N224" s="48"/>
      <c r="O224" s="48"/>
      <c r="P224" s="48"/>
      <c r="Q224" s="48"/>
      <c r="R224"/>
    </row>
    <row r="225" spans="1:18" x14ac:dyDescent="0.25">
      <c r="A225" s="33" t="s">
        <v>43</v>
      </c>
      <c r="B225" s="9" t="s">
        <v>85</v>
      </c>
      <c r="C225" s="24">
        <v>0.90909090909090906</v>
      </c>
      <c r="D225" s="24">
        <v>0.92207792207792205</v>
      </c>
      <c r="E225" s="24">
        <v>5.6338028169014093E-2</v>
      </c>
      <c r="F225" s="24">
        <v>9.0909090909090912E-2</v>
      </c>
      <c r="G225" s="9">
        <f>_xlfn.XLOOKUP(A225,Employee_Master!A:A,Employee_Master!F:F)</f>
        <v>59857</v>
      </c>
      <c r="H225" s="29">
        <v>0</v>
      </c>
      <c r="I225" s="23" t="s">
        <v>157</v>
      </c>
      <c r="J225" s="34" t="str">
        <f>_xlfn.XLOOKUP(A225,Employee_Master!A:A,Employee_Master!C:C)</f>
        <v>Finance</v>
      </c>
      <c r="K225" s="48"/>
      <c r="L225" s="48"/>
      <c r="M225" s="48"/>
      <c r="N225" s="48"/>
      <c r="O225" s="48"/>
      <c r="P225" s="48"/>
      <c r="Q225" s="48"/>
      <c r="R225"/>
    </row>
    <row r="226" spans="1:18" hidden="1" x14ac:dyDescent="0.25">
      <c r="A226" s="33" t="s">
        <v>78</v>
      </c>
      <c r="B226" s="9" t="s">
        <v>88</v>
      </c>
      <c r="C226" s="24">
        <v>1</v>
      </c>
      <c r="D226" s="24">
        <v>0.92063492063492058</v>
      </c>
      <c r="E226" s="24">
        <v>6.8965517241379309E-2</v>
      </c>
      <c r="F226" s="24">
        <v>0</v>
      </c>
      <c r="G226" s="9">
        <f>_xlfn.XLOOKUP(A226,Employee_Master!A:A,Employee_Master!F:F)</f>
        <v>36280</v>
      </c>
      <c r="H226" s="29">
        <v>0</v>
      </c>
      <c r="I226" s="23" t="s">
        <v>156</v>
      </c>
      <c r="J226" s="34" t="str">
        <f>_xlfn.XLOOKUP(A226,Employee_Master!A:A,Employee_Master!C:C)</f>
        <v>HR</v>
      </c>
      <c r="K226" s="48"/>
      <c r="L226" s="48"/>
      <c r="M226" s="48"/>
      <c r="N226" s="48"/>
      <c r="O226" s="48"/>
      <c r="P226" s="48"/>
      <c r="Q226" s="48"/>
      <c r="R226"/>
    </row>
    <row r="227" spans="1:18" x14ac:dyDescent="0.25">
      <c r="A227" s="33" t="s">
        <v>50</v>
      </c>
      <c r="B227" s="9" t="s">
        <v>83</v>
      </c>
      <c r="C227" s="24">
        <v>0.77272727272727271</v>
      </c>
      <c r="D227" s="24">
        <v>0.91891891891891897</v>
      </c>
      <c r="E227" s="24">
        <v>2.9411764705882349E-2</v>
      </c>
      <c r="F227" s="24">
        <v>0.22727272727272727</v>
      </c>
      <c r="G227" s="9">
        <f>_xlfn.XLOOKUP(A227,Employee_Master!A:A,Employee_Master!F:F)</f>
        <v>68844</v>
      </c>
      <c r="H227" s="29">
        <v>0</v>
      </c>
      <c r="I227" s="23" t="s">
        <v>155</v>
      </c>
      <c r="J227" s="34" t="str">
        <f>_xlfn.XLOOKUP(A227,Employee_Master!A:A,Employee_Master!C:C)</f>
        <v>HR</v>
      </c>
      <c r="K227" s="48"/>
      <c r="L227" s="48"/>
      <c r="M227" s="48"/>
      <c r="N227" s="48"/>
      <c r="O227" s="48"/>
      <c r="P227" s="48"/>
      <c r="Q227" s="48"/>
      <c r="R227"/>
    </row>
    <row r="228" spans="1:18" x14ac:dyDescent="0.25">
      <c r="A228" s="33" t="s">
        <v>53</v>
      </c>
      <c r="B228" s="9" t="s">
        <v>88</v>
      </c>
      <c r="C228" s="24">
        <v>0.86363636363636365</v>
      </c>
      <c r="D228" s="24">
        <v>0.91891891891891897</v>
      </c>
      <c r="E228" s="24">
        <v>5.8823529411764698E-2</v>
      </c>
      <c r="F228" s="24">
        <v>0.13636363636363635</v>
      </c>
      <c r="G228" s="9">
        <f>_xlfn.XLOOKUP(A228,Employee_Master!A:A,Employee_Master!F:F)</f>
        <v>71628</v>
      </c>
      <c r="H228" s="29">
        <v>0</v>
      </c>
      <c r="I228" s="23" t="s">
        <v>155</v>
      </c>
      <c r="J228" s="34" t="str">
        <f>_xlfn.XLOOKUP(A228,Employee_Master!A:A,Employee_Master!C:C)</f>
        <v>Finance</v>
      </c>
      <c r="K228" s="48"/>
      <c r="L228" s="48"/>
      <c r="M228" s="48"/>
      <c r="N228" s="48"/>
      <c r="O228" s="48"/>
      <c r="P228" s="48"/>
      <c r="Q228" s="48"/>
      <c r="R228"/>
    </row>
    <row r="229" spans="1:18" hidden="1" x14ac:dyDescent="0.25">
      <c r="A229" s="33" t="s">
        <v>60</v>
      </c>
      <c r="B229" s="9" t="s">
        <v>87</v>
      </c>
      <c r="C229" s="24">
        <v>1</v>
      </c>
      <c r="D229" s="24">
        <v>0.91891891891891897</v>
      </c>
      <c r="E229" s="24">
        <v>1.4705882352941175E-2</v>
      </c>
      <c r="F229" s="24">
        <v>0</v>
      </c>
      <c r="G229" s="9">
        <f>_xlfn.XLOOKUP(A229,Employee_Master!A:A,Employee_Master!F:F)</f>
        <v>80497</v>
      </c>
      <c r="H229" s="29">
        <v>0</v>
      </c>
      <c r="I229" s="23" t="s">
        <v>156</v>
      </c>
      <c r="J229" s="34" t="str">
        <f>_xlfn.XLOOKUP(A229,Employee_Master!A:A,Employee_Master!C:C)</f>
        <v>Finance</v>
      </c>
      <c r="K229" s="48"/>
      <c r="L229" s="48"/>
      <c r="M229" s="48"/>
      <c r="N229" s="48"/>
      <c r="O229" s="48"/>
      <c r="P229" s="48"/>
      <c r="Q229" s="48"/>
      <c r="R229"/>
    </row>
    <row r="230" spans="1:18" x14ac:dyDescent="0.25">
      <c r="A230" s="33" t="s">
        <v>41</v>
      </c>
      <c r="B230" s="9" t="s">
        <v>88</v>
      </c>
      <c r="C230" s="24">
        <v>0.81818181818181823</v>
      </c>
      <c r="D230" s="24">
        <v>0.91780821917808231</v>
      </c>
      <c r="E230" s="24">
        <v>7.4626865671641784E-2</v>
      </c>
      <c r="F230" s="24">
        <v>0.18181818181818182</v>
      </c>
      <c r="G230" s="9">
        <f>_xlfn.XLOOKUP(A230,Employee_Master!A:A,Employee_Master!F:F)</f>
        <v>38287</v>
      </c>
      <c r="H230" s="29">
        <v>0</v>
      </c>
      <c r="I230" s="23" t="s">
        <v>155</v>
      </c>
      <c r="J230" s="34" t="str">
        <f>_xlfn.XLOOKUP(A230,Employee_Master!A:A,Employee_Master!C:C)</f>
        <v>Sales</v>
      </c>
      <c r="K230" s="48"/>
      <c r="L230" s="48"/>
      <c r="M230" s="48"/>
      <c r="N230" s="48"/>
      <c r="O230" s="48"/>
      <c r="P230" s="48"/>
      <c r="Q230" s="48"/>
      <c r="R230"/>
    </row>
    <row r="231" spans="1:18" x14ac:dyDescent="0.25">
      <c r="A231" s="33" t="s">
        <v>42</v>
      </c>
      <c r="B231" s="9" t="s">
        <v>85</v>
      </c>
      <c r="C231" s="24">
        <v>0.81818181818181823</v>
      </c>
      <c r="D231" s="24">
        <v>0.9152542372881356</v>
      </c>
      <c r="E231" s="24">
        <v>5.5555555555555552E-2</v>
      </c>
      <c r="F231" s="24">
        <v>0.18181818181818182</v>
      </c>
      <c r="G231" s="9">
        <f>_xlfn.XLOOKUP(A231,Employee_Master!A:A,Employee_Master!F:F)</f>
        <v>61034</v>
      </c>
      <c r="H231" s="29">
        <v>0</v>
      </c>
      <c r="I231" s="23" t="s">
        <v>155</v>
      </c>
      <c r="J231" s="34" t="str">
        <f>_xlfn.XLOOKUP(A231,Employee_Master!A:A,Employee_Master!C:C)</f>
        <v>Finance</v>
      </c>
      <c r="K231" s="48"/>
      <c r="L231" s="48"/>
      <c r="M231" s="48"/>
      <c r="N231" s="48"/>
      <c r="O231" s="48"/>
      <c r="P231" s="48"/>
      <c r="Q231" s="48"/>
      <c r="R231"/>
    </row>
    <row r="232" spans="1:18" x14ac:dyDescent="0.25">
      <c r="A232" s="33" t="s">
        <v>49</v>
      </c>
      <c r="B232" s="9" t="s">
        <v>85</v>
      </c>
      <c r="C232" s="24">
        <v>0.86363636363636365</v>
      </c>
      <c r="D232" s="24">
        <v>0.9152542372881356</v>
      </c>
      <c r="E232" s="24">
        <v>3.7037037037037035E-2</v>
      </c>
      <c r="F232" s="24">
        <v>0.13636363636363635</v>
      </c>
      <c r="G232" s="9">
        <f>_xlfn.XLOOKUP(A232,Employee_Master!A:A,Employee_Master!F:F)</f>
        <v>74159</v>
      </c>
      <c r="H232" s="29">
        <v>0</v>
      </c>
      <c r="I232" s="23" t="s">
        <v>155</v>
      </c>
      <c r="J232" s="34" t="str">
        <f>_xlfn.XLOOKUP(A232,Employee_Master!A:A,Employee_Master!C:C)</f>
        <v>HR</v>
      </c>
      <c r="K232" s="48"/>
      <c r="L232" s="48"/>
      <c r="M232" s="48"/>
      <c r="N232" s="48"/>
      <c r="O232" s="48"/>
      <c r="P232" s="48"/>
      <c r="Q232" s="48"/>
      <c r="R232"/>
    </row>
    <row r="233" spans="1:18" x14ac:dyDescent="0.25">
      <c r="A233" s="33" t="s">
        <v>67</v>
      </c>
      <c r="B233" s="9" t="s">
        <v>83</v>
      </c>
      <c r="C233" s="24">
        <v>0.90909090909090906</v>
      </c>
      <c r="D233" s="24">
        <v>0.9152542372881356</v>
      </c>
      <c r="E233" s="24">
        <v>0</v>
      </c>
      <c r="F233" s="24">
        <v>9.0909090909090912E-2</v>
      </c>
      <c r="G233" s="9">
        <f>_xlfn.XLOOKUP(A233,Employee_Master!A:A,Employee_Master!F:F)</f>
        <v>57209</v>
      </c>
      <c r="H233" s="29">
        <v>0</v>
      </c>
      <c r="I233" s="23" t="s">
        <v>157</v>
      </c>
      <c r="J233" s="34" t="str">
        <f>_xlfn.XLOOKUP(A233,Employee_Master!A:A,Employee_Master!C:C)</f>
        <v>IT</v>
      </c>
      <c r="K233" s="48"/>
      <c r="L233" s="48"/>
      <c r="M233" s="48"/>
      <c r="N233" s="48"/>
      <c r="O233" s="48"/>
      <c r="P233" s="48"/>
      <c r="Q233" s="48"/>
      <c r="R233"/>
    </row>
    <row r="234" spans="1:18" x14ac:dyDescent="0.25">
      <c r="A234" s="33" t="s">
        <v>54</v>
      </c>
      <c r="B234" s="9" t="s">
        <v>85</v>
      </c>
      <c r="C234" s="24">
        <v>0.77272727272727271</v>
      </c>
      <c r="D234" s="24">
        <v>0.91304347826086951</v>
      </c>
      <c r="E234" s="24">
        <v>2.3809523809523808E-2</v>
      </c>
      <c r="F234" s="24">
        <v>0.22727272727272727</v>
      </c>
      <c r="G234" s="9">
        <f>_xlfn.XLOOKUP(A234,Employee_Master!A:A,Employee_Master!F:F)</f>
        <v>61425</v>
      </c>
      <c r="H234" s="29">
        <v>0</v>
      </c>
      <c r="I234" s="23" t="s">
        <v>155</v>
      </c>
      <c r="J234" s="34" t="str">
        <f>_xlfn.XLOOKUP(A234,Employee_Master!A:A,Employee_Master!C:C)</f>
        <v>Finance</v>
      </c>
      <c r="K234" s="48"/>
      <c r="L234" s="48"/>
      <c r="M234" s="48"/>
      <c r="N234" s="48"/>
      <c r="O234" s="48"/>
      <c r="P234" s="48"/>
      <c r="Q234" s="48"/>
      <c r="R234"/>
    </row>
    <row r="235" spans="1:18" x14ac:dyDescent="0.25">
      <c r="A235" s="33" t="s">
        <v>62</v>
      </c>
      <c r="B235" s="9" t="s">
        <v>85</v>
      </c>
      <c r="C235" s="24">
        <v>0.86363636363636365</v>
      </c>
      <c r="D235" s="24">
        <v>0.91304347826086951</v>
      </c>
      <c r="E235" s="24">
        <v>1.5873015873015872E-2</v>
      </c>
      <c r="F235" s="24">
        <v>0.13636363636363635</v>
      </c>
      <c r="G235" s="9">
        <f>_xlfn.XLOOKUP(A235,Employee_Master!A:A,Employee_Master!F:F)</f>
        <v>83035</v>
      </c>
      <c r="H235" s="29">
        <v>0</v>
      </c>
      <c r="I235" s="23" t="s">
        <v>155</v>
      </c>
      <c r="J235" s="34" t="str">
        <f>_xlfn.XLOOKUP(A235,Employee_Master!A:A,Employee_Master!C:C)</f>
        <v>HR</v>
      </c>
      <c r="K235" s="48"/>
      <c r="L235" s="48"/>
      <c r="M235" s="48"/>
      <c r="N235" s="48"/>
      <c r="O235" s="48"/>
      <c r="P235" s="48"/>
      <c r="Q235" s="48"/>
      <c r="R235"/>
    </row>
    <row r="236" spans="1:18" x14ac:dyDescent="0.25">
      <c r="A236" s="33" t="s">
        <v>18</v>
      </c>
      <c r="B236" s="9" t="s">
        <v>88</v>
      </c>
      <c r="C236" s="24">
        <v>0.77272727272727271</v>
      </c>
      <c r="D236" s="24">
        <v>0.91228070175438591</v>
      </c>
      <c r="E236" s="24">
        <v>5.7692307692307689E-2</v>
      </c>
      <c r="F236" s="24">
        <v>0.22727272727272727</v>
      </c>
      <c r="G236" s="9">
        <f>_xlfn.XLOOKUP(A236,Employee_Master!A:A,Employee_Master!F:F)</f>
        <v>49957</v>
      </c>
      <c r="H236" s="29">
        <v>0</v>
      </c>
      <c r="I236" s="23" t="s">
        <v>155</v>
      </c>
      <c r="J236" s="34" t="str">
        <f>_xlfn.XLOOKUP(A236,Employee_Master!A:A,Employee_Master!C:C)</f>
        <v>HR</v>
      </c>
      <c r="K236" s="48"/>
      <c r="L236" s="48"/>
      <c r="M236" s="48"/>
      <c r="N236" s="48"/>
      <c r="O236" s="48"/>
      <c r="P236" s="48"/>
      <c r="Q236" s="48"/>
      <c r="R236"/>
    </row>
    <row r="237" spans="1:18" x14ac:dyDescent="0.25">
      <c r="A237" s="33" t="s">
        <v>65</v>
      </c>
      <c r="B237" s="9" t="s">
        <v>88</v>
      </c>
      <c r="C237" s="24">
        <v>0.72727272727272729</v>
      </c>
      <c r="D237" s="24">
        <v>0.91228070175438591</v>
      </c>
      <c r="E237" s="24">
        <v>0</v>
      </c>
      <c r="F237" s="24">
        <v>0.27272727272727271</v>
      </c>
      <c r="G237" s="9">
        <f>_xlfn.XLOOKUP(A237,Employee_Master!A:A,Employee_Master!F:F)</f>
        <v>36399</v>
      </c>
      <c r="H237" s="29">
        <v>0</v>
      </c>
      <c r="I237" s="23" t="s">
        <v>155</v>
      </c>
      <c r="J237" s="34" t="str">
        <f>_xlfn.XLOOKUP(A237,Employee_Master!A:A,Employee_Master!C:C)</f>
        <v>Finance</v>
      </c>
      <c r="K237" s="48"/>
      <c r="L237" s="48"/>
      <c r="M237" s="48"/>
      <c r="N237" s="48"/>
      <c r="O237" s="48"/>
      <c r="P237" s="48"/>
      <c r="Q237" s="48"/>
      <c r="R237"/>
    </row>
    <row r="238" spans="1:18" x14ac:dyDescent="0.25">
      <c r="A238" s="33" t="s">
        <v>64</v>
      </c>
      <c r="B238" s="9" t="s">
        <v>87</v>
      </c>
      <c r="C238" s="24">
        <v>0.86363636363636365</v>
      </c>
      <c r="D238" s="24">
        <v>0.91176470588235292</v>
      </c>
      <c r="E238" s="24">
        <v>0.12903225806451613</v>
      </c>
      <c r="F238" s="24">
        <v>0.13636363636363635</v>
      </c>
      <c r="G238" s="9">
        <f>_xlfn.XLOOKUP(A238,Employee_Master!A:A,Employee_Master!F:F)</f>
        <v>37560</v>
      </c>
      <c r="H238" s="29">
        <v>0</v>
      </c>
      <c r="I238" s="23" t="s">
        <v>155</v>
      </c>
      <c r="J238" s="34" t="str">
        <f>_xlfn.XLOOKUP(A238,Employee_Master!A:A,Employee_Master!C:C)</f>
        <v>IT</v>
      </c>
      <c r="K238" s="48"/>
      <c r="L238" s="48"/>
      <c r="M238" s="48"/>
      <c r="N238" s="48"/>
      <c r="O238" s="48"/>
      <c r="P238" s="48"/>
      <c r="Q238" s="48"/>
      <c r="R238"/>
    </row>
    <row r="239" spans="1:18" x14ac:dyDescent="0.25">
      <c r="A239" s="33" t="s">
        <v>75</v>
      </c>
      <c r="B239" s="9" t="s">
        <v>87</v>
      </c>
      <c r="C239" s="24">
        <v>0.81818181818181823</v>
      </c>
      <c r="D239" s="24">
        <v>0.91044776119402981</v>
      </c>
      <c r="E239" s="24">
        <v>6.5573770491803282E-2</v>
      </c>
      <c r="F239" s="24">
        <v>0.18181818181818182</v>
      </c>
      <c r="G239" s="9">
        <f>_xlfn.XLOOKUP(A239,Employee_Master!A:A,Employee_Master!F:F)</f>
        <v>82692</v>
      </c>
      <c r="H239" s="29">
        <v>0</v>
      </c>
      <c r="I239" s="23" t="s">
        <v>155</v>
      </c>
      <c r="J239" s="34" t="str">
        <f>_xlfn.XLOOKUP(A239,Employee_Master!A:A,Employee_Master!C:C)</f>
        <v>IT</v>
      </c>
      <c r="K239" s="48"/>
      <c r="L239" s="48"/>
      <c r="M239" s="48"/>
      <c r="N239" s="48"/>
      <c r="O239" s="48"/>
      <c r="P239" s="48"/>
      <c r="Q239" s="48"/>
      <c r="R239"/>
    </row>
    <row r="240" spans="1:18" x14ac:dyDescent="0.25">
      <c r="A240" s="33" t="s">
        <v>27</v>
      </c>
      <c r="B240" s="9" t="s">
        <v>85</v>
      </c>
      <c r="C240" s="24">
        <v>1</v>
      </c>
      <c r="D240" s="24">
        <v>0.90909090909090906</v>
      </c>
      <c r="E240" s="24">
        <v>0.13333333333333333</v>
      </c>
      <c r="F240" s="24">
        <v>0</v>
      </c>
      <c r="G240" s="9">
        <f>_xlfn.XLOOKUP(A240,Employee_Master!A:A,Employee_Master!F:F)</f>
        <v>37736</v>
      </c>
      <c r="H240" s="29">
        <v>0</v>
      </c>
      <c r="I240" s="23" t="s">
        <v>157</v>
      </c>
      <c r="J240" s="34" t="str">
        <f>_xlfn.XLOOKUP(A240,Employee_Master!A:A,Employee_Master!C:C)</f>
        <v>Finance</v>
      </c>
      <c r="K240" s="48"/>
      <c r="L240" s="48"/>
      <c r="M240" s="48"/>
      <c r="N240" s="48"/>
      <c r="O240" s="48"/>
      <c r="P240" s="48"/>
      <c r="Q240" s="48"/>
      <c r="R240"/>
    </row>
    <row r="241" spans="1:18" x14ac:dyDescent="0.25">
      <c r="A241" s="33" t="s">
        <v>53</v>
      </c>
      <c r="B241" s="9" t="s">
        <v>84</v>
      </c>
      <c r="C241" s="24">
        <v>0.77272727272727271</v>
      </c>
      <c r="D241" s="24">
        <v>0.90909090909090906</v>
      </c>
      <c r="E241" s="24">
        <v>3.3333333333333333E-2</v>
      </c>
      <c r="F241" s="24">
        <v>0.22727272727272727</v>
      </c>
      <c r="G241" s="9">
        <f>_xlfn.XLOOKUP(A241,Employee_Master!A:A,Employee_Master!F:F)</f>
        <v>71628</v>
      </c>
      <c r="H241" s="29">
        <v>0</v>
      </c>
      <c r="I241" s="23" t="s">
        <v>155</v>
      </c>
      <c r="J241" s="34" t="str">
        <f>_xlfn.XLOOKUP(A241,Employee_Master!A:A,Employee_Master!C:C)</f>
        <v>Finance</v>
      </c>
      <c r="K241" s="48"/>
      <c r="L241" s="48"/>
      <c r="M241" s="48"/>
      <c r="N241" s="48"/>
      <c r="O241" s="48"/>
      <c r="P241" s="48"/>
      <c r="Q241" s="48"/>
      <c r="R241"/>
    </row>
    <row r="242" spans="1:18" x14ac:dyDescent="0.25">
      <c r="A242" s="33" t="s">
        <v>55</v>
      </c>
      <c r="B242" s="9" t="s">
        <v>84</v>
      </c>
      <c r="C242" s="24">
        <v>0.72727272727272729</v>
      </c>
      <c r="D242" s="24">
        <v>0.90769230769230769</v>
      </c>
      <c r="E242" s="24">
        <v>0</v>
      </c>
      <c r="F242" s="24">
        <v>0.27272727272727271</v>
      </c>
      <c r="G242" s="9">
        <f>_xlfn.XLOOKUP(A242,Employee_Master!A:A,Employee_Master!F:F)</f>
        <v>79553</v>
      </c>
      <c r="H242" s="29">
        <v>0</v>
      </c>
      <c r="I242" s="23" t="s">
        <v>155</v>
      </c>
      <c r="J242" s="34" t="str">
        <f>_xlfn.XLOOKUP(A242,Employee_Master!A:A,Employee_Master!C:C)</f>
        <v>IT</v>
      </c>
      <c r="K242" s="48"/>
      <c r="L242" s="48"/>
      <c r="M242" s="48"/>
      <c r="N242" s="48"/>
      <c r="O242" s="48"/>
      <c r="P242" s="48"/>
      <c r="Q242" s="48"/>
      <c r="R242"/>
    </row>
    <row r="243" spans="1:18" x14ac:dyDescent="0.25">
      <c r="A243" s="33" t="s">
        <v>56</v>
      </c>
      <c r="B243" s="9" t="s">
        <v>85</v>
      </c>
      <c r="C243" s="24">
        <v>0.95454545454545459</v>
      </c>
      <c r="D243" s="24">
        <v>0.90697674418604646</v>
      </c>
      <c r="E243" s="24">
        <v>0.12820512820512819</v>
      </c>
      <c r="F243" s="24">
        <v>4.5454545454545456E-2</v>
      </c>
      <c r="G243" s="9">
        <f>_xlfn.XLOOKUP(A243,Employee_Master!A:A,Employee_Master!F:F)</f>
        <v>89427</v>
      </c>
      <c r="H243" s="29">
        <v>0</v>
      </c>
      <c r="I243" s="23" t="s">
        <v>157</v>
      </c>
      <c r="J243" s="34" t="str">
        <f>_xlfn.XLOOKUP(A243,Employee_Master!A:A,Employee_Master!C:C)</f>
        <v>Sales</v>
      </c>
      <c r="K243" s="48"/>
      <c r="L243" s="48"/>
      <c r="M243" s="48"/>
      <c r="N243" s="48"/>
      <c r="O243" s="48"/>
      <c r="P243" s="48"/>
      <c r="Q243" s="48"/>
      <c r="R243"/>
    </row>
    <row r="244" spans="1:18" hidden="1" x14ac:dyDescent="0.25">
      <c r="A244" s="33" t="s">
        <v>67</v>
      </c>
      <c r="B244" s="9" t="s">
        <v>86</v>
      </c>
      <c r="C244" s="24">
        <v>1</v>
      </c>
      <c r="D244" s="24">
        <v>0.90625</v>
      </c>
      <c r="E244" s="24">
        <v>5.1724137931034482E-2</v>
      </c>
      <c r="F244" s="24">
        <v>0</v>
      </c>
      <c r="G244" s="9">
        <f>_xlfn.XLOOKUP(A244,Employee_Master!A:A,Employee_Master!F:F)</f>
        <v>57209</v>
      </c>
      <c r="H244" s="29">
        <v>0</v>
      </c>
      <c r="I244" s="23" t="s">
        <v>156</v>
      </c>
      <c r="J244" s="34" t="str">
        <f>_xlfn.XLOOKUP(A244,Employee_Master!A:A,Employee_Master!C:C)</f>
        <v>IT</v>
      </c>
      <c r="K244" s="48"/>
      <c r="L244" s="48"/>
      <c r="M244" s="48"/>
      <c r="N244" s="48"/>
      <c r="O244" s="48"/>
      <c r="P244" s="48"/>
      <c r="Q244" s="48"/>
      <c r="R244"/>
    </row>
    <row r="245" spans="1:18" hidden="1" x14ac:dyDescent="0.25">
      <c r="A245" s="33" t="s">
        <v>32</v>
      </c>
      <c r="B245" s="9" t="s">
        <v>88</v>
      </c>
      <c r="C245" s="24">
        <v>0.95454545454545459</v>
      </c>
      <c r="D245" s="24">
        <v>0.90476190476190477</v>
      </c>
      <c r="E245" s="24">
        <v>7.8947368421052627E-2</v>
      </c>
      <c r="F245" s="24">
        <v>4.5454545454545456E-2</v>
      </c>
      <c r="G245" s="9">
        <f>_xlfn.XLOOKUP(A245,Employee_Master!A:A,Employee_Master!F:F)</f>
        <v>80699</v>
      </c>
      <c r="H245" s="29">
        <v>0</v>
      </c>
      <c r="I245" s="23" t="s">
        <v>156</v>
      </c>
      <c r="J245" s="34" t="str">
        <f>_xlfn.XLOOKUP(A245,Employee_Master!A:A,Employee_Master!C:C)</f>
        <v>IT</v>
      </c>
      <c r="K245" s="48"/>
      <c r="L245" s="48"/>
      <c r="M245" s="48"/>
      <c r="N245" s="48"/>
      <c r="O245" s="48"/>
      <c r="P245" s="48"/>
      <c r="Q245" s="48"/>
      <c r="R245"/>
    </row>
    <row r="246" spans="1:18" x14ac:dyDescent="0.25">
      <c r="A246" s="33" t="s">
        <v>51</v>
      </c>
      <c r="B246" s="9" t="s">
        <v>87</v>
      </c>
      <c r="C246" s="24">
        <v>0.95454545454545459</v>
      </c>
      <c r="D246" s="24">
        <v>0.90476190476190477</v>
      </c>
      <c r="E246" s="24">
        <v>0.10526315789473684</v>
      </c>
      <c r="F246" s="24">
        <v>4.5454545454545456E-2</v>
      </c>
      <c r="G246" s="9">
        <f>_xlfn.XLOOKUP(A246,Employee_Master!A:A,Employee_Master!F:F)</f>
        <v>52195</v>
      </c>
      <c r="H246" s="29">
        <v>0</v>
      </c>
      <c r="I246" s="23" t="s">
        <v>157</v>
      </c>
      <c r="J246" s="34" t="str">
        <f>_xlfn.XLOOKUP(A246,Employee_Master!A:A,Employee_Master!C:C)</f>
        <v>HR</v>
      </c>
      <c r="K246" s="48"/>
      <c r="L246" s="48"/>
      <c r="M246" s="48"/>
      <c r="N246" s="48"/>
      <c r="O246" s="48"/>
      <c r="P246" s="48"/>
      <c r="Q246" s="48"/>
      <c r="R246"/>
    </row>
    <row r="247" spans="1:18" x14ac:dyDescent="0.25">
      <c r="A247" s="33" t="s">
        <v>55</v>
      </c>
      <c r="B247" s="9" t="s">
        <v>86</v>
      </c>
      <c r="C247" s="24">
        <v>0.90909090909090906</v>
      </c>
      <c r="D247" s="24">
        <v>0.90163934426229497</v>
      </c>
      <c r="E247" s="24">
        <v>3.6363636363636362E-2</v>
      </c>
      <c r="F247" s="24">
        <v>9.0909090909090912E-2</v>
      </c>
      <c r="G247" s="9">
        <f>_xlfn.XLOOKUP(A247,Employee_Master!A:A,Employee_Master!F:F)</f>
        <v>79553</v>
      </c>
      <c r="H247" s="29">
        <v>0</v>
      </c>
      <c r="I247" s="23" t="s">
        <v>157</v>
      </c>
      <c r="J247" s="34" t="str">
        <f>_xlfn.XLOOKUP(A247,Employee_Master!A:A,Employee_Master!C:C)</f>
        <v>IT</v>
      </c>
      <c r="K247" s="48"/>
      <c r="L247" s="48"/>
      <c r="M247" s="48"/>
      <c r="N247" s="48"/>
      <c r="O247" s="48"/>
      <c r="P247" s="48"/>
      <c r="Q247" s="48"/>
      <c r="R247"/>
    </row>
    <row r="248" spans="1:18" x14ac:dyDescent="0.25">
      <c r="A248" s="33" t="s">
        <v>8</v>
      </c>
      <c r="B248" s="9" t="s">
        <v>88</v>
      </c>
      <c r="C248" s="24">
        <v>0.95454545454545459</v>
      </c>
      <c r="D248" s="24">
        <v>0.9</v>
      </c>
      <c r="E248" s="24">
        <v>0.1388888888888889</v>
      </c>
      <c r="F248" s="24">
        <v>4.5454545454545456E-2</v>
      </c>
      <c r="G248" s="9">
        <f>_xlfn.XLOOKUP(A248,Employee_Master!A:A,Employee_Master!F:F)</f>
        <v>55448</v>
      </c>
      <c r="H248" s="29">
        <v>0</v>
      </c>
      <c r="I248" s="23" t="s">
        <v>157</v>
      </c>
      <c r="J248" s="34" t="str">
        <f>_xlfn.XLOOKUP(A248,Employee_Master!A:A,Employee_Master!C:C)</f>
        <v>HR</v>
      </c>
      <c r="K248" s="48"/>
      <c r="L248" s="48"/>
      <c r="M248" s="48"/>
      <c r="N248" s="48"/>
      <c r="O248" s="48"/>
      <c r="P248" s="48"/>
      <c r="Q248" s="48"/>
      <c r="R248"/>
    </row>
    <row r="249" spans="1:18" x14ac:dyDescent="0.25">
      <c r="A249" s="33" t="s">
        <v>47</v>
      </c>
      <c r="B249" s="9" t="s">
        <v>87</v>
      </c>
      <c r="C249" s="24">
        <v>0.90909090909090906</v>
      </c>
      <c r="D249" s="24">
        <v>0.89795918367346939</v>
      </c>
      <c r="E249" s="24">
        <v>4.5454545454545456E-2</v>
      </c>
      <c r="F249" s="24">
        <v>9.0909090909090912E-2</v>
      </c>
      <c r="G249" s="9">
        <f>_xlfn.XLOOKUP(A249,Employee_Master!A:A,Employee_Master!F:F)</f>
        <v>84504</v>
      </c>
      <c r="H249" s="29">
        <v>1724.5714285713966</v>
      </c>
      <c r="I249" s="23" t="s">
        <v>157</v>
      </c>
      <c r="J249" s="34" t="str">
        <f>_xlfn.XLOOKUP(A249,Employee_Master!A:A,Employee_Master!C:C)</f>
        <v>Finance</v>
      </c>
      <c r="K249" s="48"/>
      <c r="L249" s="48"/>
      <c r="M249" s="48"/>
      <c r="N249" s="48"/>
      <c r="O249" s="48"/>
      <c r="P249" s="48"/>
      <c r="Q249" s="48"/>
      <c r="R249"/>
    </row>
    <row r="250" spans="1:18" x14ac:dyDescent="0.25">
      <c r="A250" s="33" t="s">
        <v>61</v>
      </c>
      <c r="B250" s="9" t="s">
        <v>88</v>
      </c>
      <c r="C250" s="24">
        <v>0.72727272727272729</v>
      </c>
      <c r="D250" s="24">
        <v>0.89795918367346939</v>
      </c>
      <c r="E250" s="24">
        <v>9.0909090909090912E-2</v>
      </c>
      <c r="F250" s="24">
        <v>0.27272727272727271</v>
      </c>
      <c r="G250" s="9">
        <f>_xlfn.XLOOKUP(A250,Employee_Master!A:A,Employee_Master!F:F)</f>
        <v>54123</v>
      </c>
      <c r="H250" s="29">
        <v>1104.5510204081429</v>
      </c>
      <c r="I250" s="23" t="s">
        <v>155</v>
      </c>
      <c r="J250" s="34" t="str">
        <f>_xlfn.XLOOKUP(A250,Employee_Master!A:A,Employee_Master!C:C)</f>
        <v>HR</v>
      </c>
      <c r="K250" s="48"/>
      <c r="L250" s="48"/>
      <c r="M250" s="48"/>
      <c r="N250" s="48"/>
      <c r="O250" s="48"/>
      <c r="P250" s="48"/>
      <c r="Q250" s="48"/>
      <c r="R250"/>
    </row>
    <row r="251" spans="1:18" x14ac:dyDescent="0.25">
      <c r="A251" s="33" t="s">
        <v>26</v>
      </c>
      <c r="B251" s="9" t="s">
        <v>85</v>
      </c>
      <c r="C251" s="24">
        <v>0.77272727272727271</v>
      </c>
      <c r="D251" s="24">
        <v>0.89743589743589747</v>
      </c>
      <c r="E251" s="24">
        <v>0.11428571428571428</v>
      </c>
      <c r="F251" s="24">
        <v>0.22727272727272727</v>
      </c>
      <c r="G251" s="9">
        <f>_xlfn.XLOOKUP(A251,Employee_Master!A:A,Employee_Master!F:F)</f>
        <v>42012</v>
      </c>
      <c r="H251" s="29">
        <v>1077.2307692307354</v>
      </c>
      <c r="I251" s="23" t="s">
        <v>155</v>
      </c>
      <c r="J251" s="34" t="str">
        <f>_xlfn.XLOOKUP(A251,Employee_Master!A:A,Employee_Master!C:C)</f>
        <v>Sales</v>
      </c>
      <c r="K251" s="48"/>
      <c r="L251" s="48"/>
      <c r="M251" s="48"/>
      <c r="N251" s="48"/>
      <c r="O251" s="48"/>
      <c r="P251" s="48"/>
      <c r="Q251" s="48"/>
      <c r="R251"/>
    </row>
    <row r="252" spans="1:18" x14ac:dyDescent="0.25">
      <c r="A252" s="33" t="s">
        <v>40</v>
      </c>
      <c r="B252" s="9" t="s">
        <v>88</v>
      </c>
      <c r="C252" s="24">
        <v>0.86363636363636365</v>
      </c>
      <c r="D252" s="24">
        <v>0.89655172413793105</v>
      </c>
      <c r="E252" s="24">
        <v>1.9230769230769232E-2</v>
      </c>
      <c r="F252" s="24">
        <v>0.13636363636363635</v>
      </c>
      <c r="G252" s="9">
        <f>_xlfn.XLOOKUP(A252,Employee_Master!A:A,Employee_Master!F:F)</f>
        <v>41091</v>
      </c>
      <c r="H252" s="29">
        <v>1416.9310344827306</v>
      </c>
      <c r="I252" s="23" t="s">
        <v>155</v>
      </c>
      <c r="J252" s="34" t="str">
        <f>_xlfn.XLOOKUP(A252,Employee_Master!A:A,Employee_Master!C:C)</f>
        <v>HR</v>
      </c>
      <c r="K252" s="48"/>
      <c r="L252" s="48"/>
      <c r="M252" s="48"/>
      <c r="N252" s="48"/>
      <c r="O252" s="48"/>
      <c r="P252" s="48"/>
      <c r="Q252" s="48"/>
      <c r="R252"/>
    </row>
    <row r="253" spans="1:18" x14ac:dyDescent="0.25">
      <c r="A253" s="33" t="s">
        <v>70</v>
      </c>
      <c r="B253" s="9" t="s">
        <v>85</v>
      </c>
      <c r="C253" s="24">
        <v>0.72727272727272729</v>
      </c>
      <c r="D253" s="24">
        <v>0.89655172413793105</v>
      </c>
      <c r="E253" s="24">
        <v>1.9230769230769232E-2</v>
      </c>
      <c r="F253" s="24">
        <v>0.27272727272727271</v>
      </c>
      <c r="G253" s="9">
        <f>_xlfn.XLOOKUP(A253,Employee_Master!A:A,Employee_Master!F:F)</f>
        <v>58061</v>
      </c>
      <c r="H253" s="29">
        <v>2002.1034482758223</v>
      </c>
      <c r="I253" s="23" t="s">
        <v>155</v>
      </c>
      <c r="J253" s="34" t="str">
        <f>_xlfn.XLOOKUP(A253,Employee_Master!A:A,Employee_Master!C:C)</f>
        <v>IT</v>
      </c>
      <c r="K253" s="48"/>
      <c r="L253" s="48"/>
      <c r="M253" s="48"/>
      <c r="N253" s="48"/>
      <c r="O253" s="48"/>
      <c r="P253" s="48"/>
      <c r="Q253" s="48"/>
      <c r="R253"/>
    </row>
    <row r="254" spans="1:18" x14ac:dyDescent="0.25">
      <c r="A254" s="33" t="s">
        <v>55</v>
      </c>
      <c r="B254" s="9" t="s">
        <v>83</v>
      </c>
      <c r="C254" s="24">
        <v>1</v>
      </c>
      <c r="D254" s="24">
        <v>0.89583333333333348</v>
      </c>
      <c r="E254" s="24">
        <v>0</v>
      </c>
      <c r="F254" s="24">
        <v>0</v>
      </c>
      <c r="G254" s="9">
        <f>_xlfn.XLOOKUP(A254,Employee_Master!A:A,Employee_Master!F:F)</f>
        <v>79553</v>
      </c>
      <c r="H254" s="29">
        <v>3314.708333333258</v>
      </c>
      <c r="I254" s="23" t="s">
        <v>157</v>
      </c>
      <c r="J254" s="34" t="str">
        <f>_xlfn.XLOOKUP(A254,Employee_Master!A:A,Employee_Master!C:C)</f>
        <v>IT</v>
      </c>
      <c r="K254" s="48"/>
      <c r="L254" s="48"/>
      <c r="M254" s="48"/>
      <c r="N254" s="48"/>
      <c r="O254" s="48"/>
      <c r="P254" s="48"/>
      <c r="Q254" s="48"/>
      <c r="R254"/>
    </row>
    <row r="255" spans="1:18" x14ac:dyDescent="0.25">
      <c r="A255" s="33" t="s">
        <v>75</v>
      </c>
      <c r="B255" s="9" t="s">
        <v>88</v>
      </c>
      <c r="C255" s="24">
        <v>0.72727272727272729</v>
      </c>
      <c r="D255" s="24">
        <v>0.89583333333333348</v>
      </c>
      <c r="E255" s="24">
        <v>4.6511627906976744E-2</v>
      </c>
      <c r="F255" s="24">
        <v>0.27272727272727271</v>
      </c>
      <c r="G255" s="9">
        <f>_xlfn.XLOOKUP(A255,Employee_Master!A:A,Employee_Master!F:F)</f>
        <v>82692</v>
      </c>
      <c r="H255" s="29">
        <v>3445.4999999999218</v>
      </c>
      <c r="I255" s="23" t="s">
        <v>155</v>
      </c>
      <c r="J255" s="34" t="str">
        <f>_xlfn.XLOOKUP(A255,Employee_Master!A:A,Employee_Master!C:C)</f>
        <v>IT</v>
      </c>
      <c r="K255" s="48"/>
      <c r="L255" s="48"/>
      <c r="M255" s="48"/>
      <c r="N255" s="48"/>
      <c r="O255" s="48"/>
      <c r="P255" s="48"/>
      <c r="Q255" s="48"/>
      <c r="R255"/>
    </row>
    <row r="256" spans="1:18" x14ac:dyDescent="0.25">
      <c r="A256" s="33" t="s">
        <v>65</v>
      </c>
      <c r="B256" s="9" t="s">
        <v>86</v>
      </c>
      <c r="C256" s="24">
        <v>0.90909090909090906</v>
      </c>
      <c r="D256" s="24">
        <v>0.89473684210526316</v>
      </c>
      <c r="E256" s="24">
        <v>3.9215686274509803E-2</v>
      </c>
      <c r="F256" s="24">
        <v>9.0909090909090912E-2</v>
      </c>
      <c r="G256" s="9">
        <f>_xlfn.XLOOKUP(A256,Employee_Master!A:A,Employee_Master!F:F)</f>
        <v>36399</v>
      </c>
      <c r="H256" s="29">
        <v>1915.7368421052659</v>
      </c>
      <c r="I256" s="23" t="s">
        <v>157</v>
      </c>
      <c r="J256" s="34" t="str">
        <f>_xlfn.XLOOKUP(A256,Employee_Master!A:A,Employee_Master!C:C)</f>
        <v>Finance</v>
      </c>
      <c r="K256" s="48"/>
      <c r="L256" s="48"/>
      <c r="M256" s="48"/>
      <c r="N256" s="48"/>
      <c r="O256" s="48"/>
      <c r="P256" s="48"/>
      <c r="Q256" s="48"/>
      <c r="R256"/>
    </row>
    <row r="257" spans="1:18" x14ac:dyDescent="0.25">
      <c r="A257" s="33" t="s">
        <v>22</v>
      </c>
      <c r="B257" s="9" t="s">
        <v>88</v>
      </c>
      <c r="C257" s="24">
        <v>0.81818181818181823</v>
      </c>
      <c r="D257" s="24">
        <v>0.8936170212765957</v>
      </c>
      <c r="E257" s="24">
        <v>0</v>
      </c>
      <c r="F257" s="24">
        <v>0.18181818181818182</v>
      </c>
      <c r="G257" s="9">
        <f>_xlfn.XLOOKUP(A257,Employee_Master!A:A,Employee_Master!F:F)</f>
        <v>38396</v>
      </c>
      <c r="H257" s="29">
        <v>2450.8085106383178</v>
      </c>
      <c r="I257" s="23" t="s">
        <v>155</v>
      </c>
      <c r="J257" s="34" t="str">
        <f>_xlfn.XLOOKUP(A257,Employee_Master!A:A,Employee_Master!C:C)</f>
        <v>IT</v>
      </c>
      <c r="K257" s="48"/>
      <c r="L257" s="48"/>
      <c r="M257" s="48"/>
      <c r="N257" s="48"/>
      <c r="O257" s="48"/>
      <c r="P257" s="48"/>
      <c r="Q257" s="48"/>
      <c r="R257"/>
    </row>
    <row r="258" spans="1:18" x14ac:dyDescent="0.25">
      <c r="A258" s="33" t="s">
        <v>54</v>
      </c>
      <c r="B258" s="9" t="s">
        <v>83</v>
      </c>
      <c r="C258" s="24">
        <v>0.72727272727272729</v>
      </c>
      <c r="D258" s="24">
        <v>0.8936170212765957</v>
      </c>
      <c r="E258" s="24">
        <v>2.3809523809523808E-2</v>
      </c>
      <c r="F258" s="24">
        <v>0.27272727272727271</v>
      </c>
      <c r="G258" s="9">
        <f>_xlfn.XLOOKUP(A258,Employee_Master!A:A,Employee_Master!F:F)</f>
        <v>61425</v>
      </c>
      <c r="H258" s="29">
        <v>3920.7446808510954</v>
      </c>
      <c r="I258" s="23" t="s">
        <v>155</v>
      </c>
      <c r="J258" s="34" t="str">
        <f>_xlfn.XLOOKUP(A258,Employee_Master!A:A,Employee_Master!C:C)</f>
        <v>Finance</v>
      </c>
      <c r="K258" s="48"/>
      <c r="L258" s="48"/>
      <c r="M258" s="48"/>
      <c r="N258" s="48"/>
      <c r="O258" s="48"/>
      <c r="P258" s="48"/>
      <c r="Q258" s="48"/>
      <c r="R258"/>
    </row>
    <row r="259" spans="1:18" x14ac:dyDescent="0.25">
      <c r="A259" s="33" t="s">
        <v>71</v>
      </c>
      <c r="B259" s="9" t="s">
        <v>83</v>
      </c>
      <c r="C259" s="24">
        <v>0.81818181818181823</v>
      </c>
      <c r="D259" s="24">
        <v>0.8936170212765957</v>
      </c>
      <c r="E259" s="24">
        <v>7.1428571428571425E-2</v>
      </c>
      <c r="F259" s="24">
        <v>0.18181818181818182</v>
      </c>
      <c r="G259" s="9">
        <f>_xlfn.XLOOKUP(A259,Employee_Master!A:A,Employee_Master!F:F)</f>
        <v>46149</v>
      </c>
      <c r="H259" s="29">
        <v>2945.6808510638534</v>
      </c>
      <c r="I259" s="23" t="s">
        <v>155</v>
      </c>
      <c r="J259" s="34" t="str">
        <f>_xlfn.XLOOKUP(A259,Employee_Master!A:A,Employee_Master!C:C)</f>
        <v>IT</v>
      </c>
      <c r="K259" s="48"/>
      <c r="L259" s="48"/>
      <c r="M259" s="48"/>
      <c r="N259" s="48"/>
      <c r="O259" s="48"/>
      <c r="P259" s="48"/>
      <c r="Q259" s="48"/>
      <c r="R259"/>
    </row>
    <row r="260" spans="1:18" x14ac:dyDescent="0.25">
      <c r="A260" s="33" t="s">
        <v>66</v>
      </c>
      <c r="B260" s="9" t="s">
        <v>83</v>
      </c>
      <c r="C260" s="24">
        <v>0.95454545454545459</v>
      </c>
      <c r="D260" s="24">
        <v>0.8928571428571429</v>
      </c>
      <c r="E260" s="24">
        <v>0.1</v>
      </c>
      <c r="F260" s="24">
        <v>4.5454545454545456E-2</v>
      </c>
      <c r="G260" s="9">
        <f>_xlfn.XLOOKUP(A260,Employee_Master!A:A,Employee_Master!F:F)</f>
        <v>35728</v>
      </c>
      <c r="H260" s="29">
        <v>2551.9999999999782</v>
      </c>
      <c r="I260" s="23" t="s">
        <v>157</v>
      </c>
      <c r="J260" s="34" t="str">
        <f>_xlfn.XLOOKUP(A260,Employee_Master!A:A,Employee_Master!C:C)</f>
        <v>Finance</v>
      </c>
      <c r="K260" s="48"/>
      <c r="L260" s="48"/>
      <c r="M260" s="48"/>
      <c r="N260" s="48"/>
      <c r="O260" s="48"/>
      <c r="P260" s="48"/>
      <c r="Q260" s="48"/>
      <c r="R260"/>
    </row>
    <row r="261" spans="1:18" x14ac:dyDescent="0.25">
      <c r="A261" s="33" t="s">
        <v>32</v>
      </c>
      <c r="B261" s="9" t="s">
        <v>83</v>
      </c>
      <c r="C261" s="24">
        <v>0.72727272727272729</v>
      </c>
      <c r="D261" s="24">
        <v>0.89189189189189189</v>
      </c>
      <c r="E261" s="24">
        <v>0</v>
      </c>
      <c r="F261" s="24">
        <v>0.27272727272727271</v>
      </c>
      <c r="G261" s="9">
        <f>_xlfn.XLOOKUP(A261,Employee_Master!A:A,Employee_Master!F:F)</f>
        <v>80699</v>
      </c>
      <c r="H261" s="29">
        <v>6543.1621621621307</v>
      </c>
      <c r="I261" s="23" t="s">
        <v>155</v>
      </c>
      <c r="J261" s="34" t="str">
        <f>_xlfn.XLOOKUP(A261,Employee_Master!A:A,Employee_Master!C:C)</f>
        <v>IT</v>
      </c>
      <c r="K261" s="48"/>
      <c r="L261" s="48"/>
      <c r="M261" s="48"/>
      <c r="N261" s="48"/>
      <c r="O261" s="48"/>
      <c r="P261" s="48"/>
      <c r="Q261" s="48"/>
      <c r="R261"/>
    </row>
    <row r="262" spans="1:18" x14ac:dyDescent="0.25">
      <c r="A262" s="33" t="s">
        <v>32</v>
      </c>
      <c r="B262" s="9" t="s">
        <v>84</v>
      </c>
      <c r="C262" s="24">
        <v>0.90909090909090906</v>
      </c>
      <c r="D262" s="24">
        <v>0.89130434782608692</v>
      </c>
      <c r="E262" s="24">
        <v>7.3170731707317069E-2</v>
      </c>
      <c r="F262" s="24">
        <v>9.0909090909090912E-2</v>
      </c>
      <c r="G262" s="9">
        <f>_xlfn.XLOOKUP(A262,Employee_Master!A:A,Employee_Master!F:F)</f>
        <v>80699</v>
      </c>
      <c r="H262" s="29">
        <v>7017.3043478261461</v>
      </c>
      <c r="I262" s="23" t="s">
        <v>157</v>
      </c>
      <c r="J262" s="34" t="str">
        <f>_xlfn.XLOOKUP(A262,Employee_Master!A:A,Employee_Master!C:C)</f>
        <v>IT</v>
      </c>
      <c r="K262" s="48"/>
      <c r="L262" s="48"/>
      <c r="M262" s="48"/>
      <c r="N262" s="48"/>
      <c r="O262" s="48"/>
      <c r="P262" s="48"/>
      <c r="Q262" s="48"/>
      <c r="R262"/>
    </row>
    <row r="263" spans="1:18" x14ac:dyDescent="0.25">
      <c r="A263" s="33" t="s">
        <v>60</v>
      </c>
      <c r="B263" s="9" t="s">
        <v>85</v>
      </c>
      <c r="C263" s="24">
        <v>0.77272727272727271</v>
      </c>
      <c r="D263" s="24">
        <v>0.89130434782608692</v>
      </c>
      <c r="E263" s="24">
        <v>0</v>
      </c>
      <c r="F263" s="24">
        <v>0.22727272727272727</v>
      </c>
      <c r="G263" s="9">
        <f>_xlfn.XLOOKUP(A263,Employee_Master!A:A,Employee_Master!F:F)</f>
        <v>80497</v>
      </c>
      <c r="H263" s="29">
        <v>6999.7391304348421</v>
      </c>
      <c r="I263" s="23" t="s">
        <v>155</v>
      </c>
      <c r="J263" s="34" t="str">
        <f>_xlfn.XLOOKUP(A263,Employee_Master!A:A,Employee_Master!C:C)</f>
        <v>Finance</v>
      </c>
      <c r="K263" s="48"/>
      <c r="L263" s="48"/>
      <c r="M263" s="48"/>
      <c r="N263" s="48"/>
      <c r="O263" s="48"/>
      <c r="P263" s="48"/>
      <c r="Q263" s="48"/>
      <c r="R263"/>
    </row>
    <row r="264" spans="1:18" x14ac:dyDescent="0.25">
      <c r="A264" s="33" t="s">
        <v>65</v>
      </c>
      <c r="B264" s="9" t="s">
        <v>83</v>
      </c>
      <c r="C264" s="24">
        <v>0.81818181818181823</v>
      </c>
      <c r="D264" s="24">
        <v>0.89090909090909098</v>
      </c>
      <c r="E264" s="24">
        <v>0</v>
      </c>
      <c r="F264" s="24">
        <v>0.18181818181818182</v>
      </c>
      <c r="G264" s="9">
        <f>_xlfn.XLOOKUP(A264,Employee_Master!A:A,Employee_Master!F:F)</f>
        <v>36399</v>
      </c>
      <c r="H264" s="29">
        <v>3308.9999999999909</v>
      </c>
      <c r="I264" s="23" t="s">
        <v>155</v>
      </c>
      <c r="J264" s="34" t="str">
        <f>_xlfn.XLOOKUP(A264,Employee_Master!A:A,Employee_Master!C:C)</f>
        <v>Finance</v>
      </c>
      <c r="K264" s="48"/>
      <c r="L264" s="48"/>
      <c r="M264" s="48"/>
      <c r="N264" s="48"/>
      <c r="O264" s="48"/>
      <c r="P264" s="48"/>
      <c r="Q264" s="48"/>
      <c r="R264"/>
    </row>
    <row r="265" spans="1:18" x14ac:dyDescent="0.25">
      <c r="A265" s="33" t="s">
        <v>39</v>
      </c>
      <c r="B265" s="9" t="s">
        <v>86</v>
      </c>
      <c r="C265" s="24">
        <v>0.95454545454545459</v>
      </c>
      <c r="D265" s="24">
        <v>0.88888888888888884</v>
      </c>
      <c r="E265" s="24">
        <v>0.10416666666666669</v>
      </c>
      <c r="F265" s="24">
        <v>4.5454545454545456E-2</v>
      </c>
      <c r="G265" s="9">
        <f>_xlfn.XLOOKUP(A265,Employee_Master!A:A,Employee_Master!F:F)</f>
        <v>89085</v>
      </c>
      <c r="H265" s="29">
        <v>9898.3333333333612</v>
      </c>
      <c r="I265" s="23" t="s">
        <v>157</v>
      </c>
      <c r="J265" s="34" t="str">
        <f>_xlfn.XLOOKUP(A265,Employee_Master!A:A,Employee_Master!C:C)</f>
        <v>Sales</v>
      </c>
      <c r="K265" s="48"/>
      <c r="L265" s="48"/>
      <c r="M265" s="48"/>
      <c r="N265" s="48"/>
      <c r="O265" s="48"/>
      <c r="P265" s="48"/>
      <c r="Q265" s="48"/>
      <c r="R265"/>
    </row>
    <row r="266" spans="1:18" x14ac:dyDescent="0.25">
      <c r="A266" s="33" t="s">
        <v>60</v>
      </c>
      <c r="B266" s="9" t="s">
        <v>88</v>
      </c>
      <c r="C266" s="24">
        <v>1</v>
      </c>
      <c r="D266" s="24">
        <v>0.88888888888888884</v>
      </c>
      <c r="E266" s="24">
        <v>9.375E-2</v>
      </c>
      <c r="F266" s="24">
        <v>0</v>
      </c>
      <c r="G266" s="9">
        <f>_xlfn.XLOOKUP(A266,Employee_Master!A:A,Employee_Master!F:F)</f>
        <v>80497</v>
      </c>
      <c r="H266" s="29">
        <v>8944.1111111111368</v>
      </c>
      <c r="I266" s="23" t="s">
        <v>157</v>
      </c>
      <c r="J266" s="34" t="str">
        <f>_xlfn.XLOOKUP(A266,Employee_Master!A:A,Employee_Master!C:C)</f>
        <v>Finance</v>
      </c>
      <c r="K266" s="48"/>
      <c r="L266" s="48"/>
      <c r="M266" s="48"/>
      <c r="N266" s="48"/>
      <c r="O266" s="48"/>
      <c r="P266" s="48"/>
      <c r="Q266" s="48"/>
      <c r="R266"/>
    </row>
    <row r="267" spans="1:18" x14ac:dyDescent="0.25">
      <c r="A267" s="33" t="s">
        <v>41</v>
      </c>
      <c r="B267" s="9" t="s">
        <v>83</v>
      </c>
      <c r="C267" s="24">
        <v>0.77272727272727271</v>
      </c>
      <c r="D267" s="24">
        <v>0.88636363636363635</v>
      </c>
      <c r="E267" s="24">
        <v>5.128205128205128E-2</v>
      </c>
      <c r="F267" s="24">
        <v>0.22727272727272727</v>
      </c>
      <c r="G267" s="9">
        <f>_xlfn.XLOOKUP(A267,Employee_Master!A:A,Employee_Master!F:F)</f>
        <v>38287</v>
      </c>
      <c r="H267" s="29">
        <v>5220.9545454545296</v>
      </c>
      <c r="I267" s="23" t="s">
        <v>155</v>
      </c>
      <c r="J267" s="34" t="str">
        <f>_xlfn.XLOOKUP(A267,Employee_Master!A:A,Employee_Master!C:C)</f>
        <v>Sales</v>
      </c>
      <c r="K267" s="48"/>
      <c r="L267" s="48"/>
      <c r="M267" s="48"/>
      <c r="N267" s="48"/>
      <c r="O267" s="48"/>
      <c r="P267" s="48"/>
      <c r="Q267" s="48"/>
      <c r="R267"/>
    </row>
    <row r="268" spans="1:18" x14ac:dyDescent="0.25">
      <c r="A268" s="33" t="s">
        <v>72</v>
      </c>
      <c r="B268" s="9" t="s">
        <v>84</v>
      </c>
      <c r="C268" s="24">
        <v>0.77272727272727271</v>
      </c>
      <c r="D268" s="24">
        <v>0.88571428571428568</v>
      </c>
      <c r="E268" s="24">
        <v>0.12903225806451613</v>
      </c>
      <c r="F268" s="24">
        <v>0.22727272727272727</v>
      </c>
      <c r="G268" s="9">
        <f>_xlfn.XLOOKUP(A268,Employee_Master!A:A,Employee_Master!F:F)</f>
        <v>77876</v>
      </c>
      <c r="H268" s="29">
        <v>11125.142857142873</v>
      </c>
      <c r="I268" s="23" t="s">
        <v>155</v>
      </c>
      <c r="J268" s="34" t="str">
        <f>_xlfn.XLOOKUP(A268,Employee_Master!A:A,Employee_Master!C:C)</f>
        <v>Sales</v>
      </c>
      <c r="K268" s="48"/>
      <c r="L268" s="48"/>
      <c r="M268" s="48"/>
      <c r="N268" s="48"/>
      <c r="O268" s="48"/>
      <c r="P268" s="48"/>
      <c r="Q268" s="48"/>
      <c r="R268"/>
    </row>
    <row r="269" spans="1:18" x14ac:dyDescent="0.25">
      <c r="A269" s="33" t="s">
        <v>40</v>
      </c>
      <c r="B269" s="9" t="s">
        <v>86</v>
      </c>
      <c r="C269" s="24">
        <v>0.90909090909090906</v>
      </c>
      <c r="D269" s="24">
        <v>0.88461538461538458</v>
      </c>
      <c r="E269" s="24">
        <v>0</v>
      </c>
      <c r="F269" s="24">
        <v>9.0909090909090912E-2</v>
      </c>
      <c r="G269" s="9">
        <f>_xlfn.XLOOKUP(A269,Employee_Master!A:A,Employee_Master!F:F)</f>
        <v>41091</v>
      </c>
      <c r="H269" s="29">
        <v>6321.6923076923431</v>
      </c>
      <c r="I269" s="23" t="s">
        <v>157</v>
      </c>
      <c r="J269" s="34" t="str">
        <f>_xlfn.XLOOKUP(A269,Employee_Master!A:A,Employee_Master!C:C)</f>
        <v>HR</v>
      </c>
      <c r="K269" s="48"/>
      <c r="L269" s="48"/>
      <c r="M269" s="48"/>
      <c r="N269" s="48"/>
      <c r="O269" s="48"/>
      <c r="P269" s="48"/>
      <c r="Q269" s="48"/>
      <c r="R269"/>
    </row>
    <row r="270" spans="1:18" x14ac:dyDescent="0.25">
      <c r="A270" s="33" t="s">
        <v>78</v>
      </c>
      <c r="B270" s="9" t="s">
        <v>86</v>
      </c>
      <c r="C270" s="24">
        <v>0.86363636363636365</v>
      </c>
      <c r="D270" s="24">
        <v>0.88461538461538458</v>
      </c>
      <c r="E270" s="24">
        <v>4.3478260869565216E-2</v>
      </c>
      <c r="F270" s="24">
        <v>0.13636363636363635</v>
      </c>
      <c r="G270" s="9">
        <f>_xlfn.XLOOKUP(A270,Employee_Master!A:A,Employee_Master!F:F)</f>
        <v>36280</v>
      </c>
      <c r="H270" s="29">
        <v>5581.5384615384928</v>
      </c>
      <c r="I270" s="23" t="s">
        <v>155</v>
      </c>
      <c r="J270" s="34" t="str">
        <f>_xlfn.XLOOKUP(A270,Employee_Master!A:A,Employee_Master!C:C)</f>
        <v>HR</v>
      </c>
      <c r="K270" s="48"/>
      <c r="L270" s="48"/>
      <c r="M270" s="48"/>
      <c r="N270" s="48"/>
      <c r="O270" s="48"/>
      <c r="P270" s="48"/>
      <c r="Q270" s="48"/>
      <c r="R270"/>
    </row>
    <row r="271" spans="1:18" x14ac:dyDescent="0.25">
      <c r="A271" s="33" t="s">
        <v>27</v>
      </c>
      <c r="B271" s="9" t="s">
        <v>84</v>
      </c>
      <c r="C271" s="24">
        <v>1</v>
      </c>
      <c r="D271" s="24">
        <v>0.88372093023255816</v>
      </c>
      <c r="E271" s="24">
        <v>5.2631578947368418E-2</v>
      </c>
      <c r="F271" s="24">
        <v>0</v>
      </c>
      <c r="G271" s="9">
        <f>_xlfn.XLOOKUP(A271,Employee_Master!A:A,Employee_Master!F:F)</f>
        <v>37736</v>
      </c>
      <c r="H271" s="29">
        <v>6143.0697674418579</v>
      </c>
      <c r="I271" s="23" t="s">
        <v>157</v>
      </c>
      <c r="J271" s="34" t="str">
        <f>_xlfn.XLOOKUP(A271,Employee_Master!A:A,Employee_Master!C:C)</f>
        <v>Finance</v>
      </c>
      <c r="K271" s="48"/>
      <c r="L271" s="48"/>
      <c r="M271" s="48"/>
      <c r="N271" s="48"/>
      <c r="O271" s="48"/>
      <c r="P271" s="48"/>
      <c r="Q271" s="48"/>
      <c r="R271"/>
    </row>
    <row r="272" spans="1:18" x14ac:dyDescent="0.25">
      <c r="A272" s="33" t="s">
        <v>71</v>
      </c>
      <c r="B272" s="9" t="s">
        <v>88</v>
      </c>
      <c r="C272" s="24">
        <v>0.81818181818181823</v>
      </c>
      <c r="D272" s="24">
        <v>0.88235294117647056</v>
      </c>
      <c r="E272" s="24">
        <v>0.16666666666666663</v>
      </c>
      <c r="F272" s="24">
        <v>0.18181818181818182</v>
      </c>
      <c r="G272" s="9">
        <f>_xlfn.XLOOKUP(A272,Employee_Master!A:A,Employee_Master!F:F)</f>
        <v>46149</v>
      </c>
      <c r="H272" s="29">
        <v>8143.941176470591</v>
      </c>
      <c r="I272" s="23" t="s">
        <v>155</v>
      </c>
      <c r="J272" s="34" t="str">
        <f>_xlfn.XLOOKUP(A272,Employee_Master!A:A,Employee_Master!C:C)</f>
        <v>IT</v>
      </c>
      <c r="K272" s="48"/>
      <c r="L272" s="48"/>
      <c r="M272" s="48"/>
      <c r="N272" s="48"/>
      <c r="O272" s="48"/>
      <c r="P272" s="48"/>
      <c r="Q272" s="48"/>
      <c r="R272"/>
    </row>
    <row r="273" spans="1:19" x14ac:dyDescent="0.25">
      <c r="A273" s="33" t="s">
        <v>36</v>
      </c>
      <c r="B273" s="9" t="s">
        <v>83</v>
      </c>
      <c r="C273" s="24">
        <v>0.72727272727272729</v>
      </c>
      <c r="D273" s="24">
        <v>0.875</v>
      </c>
      <c r="E273" s="24">
        <v>4.7619047619047616E-2</v>
      </c>
      <c r="F273" s="24">
        <v>0.27272727272727271</v>
      </c>
      <c r="G273" s="9">
        <f>_xlfn.XLOOKUP(A273,Employee_Master!A:A,Employee_Master!F:F)</f>
        <v>42493</v>
      </c>
      <c r="H273" s="29">
        <v>10623.25</v>
      </c>
      <c r="I273" s="23" t="s">
        <v>155</v>
      </c>
      <c r="J273" s="34" t="str">
        <f>_xlfn.XLOOKUP(A273,Employee_Master!A:A,Employee_Master!C:C)</f>
        <v>IT</v>
      </c>
      <c r="K273" s="48"/>
      <c r="L273" s="48"/>
      <c r="M273" s="48"/>
      <c r="N273" s="48"/>
      <c r="O273" s="48"/>
      <c r="P273" s="48"/>
      <c r="Q273" s="48"/>
      <c r="R273"/>
    </row>
    <row r="274" spans="1:19" x14ac:dyDescent="0.25">
      <c r="A274" s="33" t="s">
        <v>61</v>
      </c>
      <c r="B274" s="9" t="s">
        <v>84</v>
      </c>
      <c r="C274" s="24">
        <v>0.95454545454545459</v>
      </c>
      <c r="D274" s="24">
        <v>0.875</v>
      </c>
      <c r="E274" s="24">
        <v>0.10714285714285714</v>
      </c>
      <c r="F274" s="24">
        <v>4.5454545454545456E-2</v>
      </c>
      <c r="G274" s="9">
        <f>_xlfn.XLOOKUP(A274,Employee_Master!A:A,Employee_Master!F:F)</f>
        <v>54123</v>
      </c>
      <c r="H274" s="29">
        <v>13530.750000000002</v>
      </c>
      <c r="I274" s="23" t="s">
        <v>157</v>
      </c>
      <c r="J274" s="34" t="str">
        <f>_xlfn.XLOOKUP(A274,Employee_Master!A:A,Employee_Master!C:C)</f>
        <v>HR</v>
      </c>
      <c r="K274" s="48"/>
      <c r="L274" s="48"/>
      <c r="M274" s="48"/>
      <c r="N274" s="48"/>
      <c r="O274" s="48"/>
      <c r="P274" s="48"/>
      <c r="Q274" s="48"/>
      <c r="R274"/>
    </row>
    <row r="275" spans="1:19" x14ac:dyDescent="0.25">
      <c r="A275" s="33" t="s">
        <v>70</v>
      </c>
      <c r="B275" s="9" t="s">
        <v>84</v>
      </c>
      <c r="C275" s="24">
        <v>0.86363636363636365</v>
      </c>
      <c r="D275" s="24">
        <v>0.875</v>
      </c>
      <c r="E275" s="24">
        <v>2.8571428571428571E-2</v>
      </c>
      <c r="F275" s="24">
        <v>0.13636363636363635</v>
      </c>
      <c r="G275" s="9">
        <f>_xlfn.XLOOKUP(A275,Employee_Master!A:A,Employee_Master!F:F)</f>
        <v>58061</v>
      </c>
      <c r="H275" s="29">
        <v>14515.250000000002</v>
      </c>
      <c r="I275" s="23" t="s">
        <v>155</v>
      </c>
      <c r="J275" s="34" t="str">
        <f>_xlfn.XLOOKUP(A275,Employee_Master!A:A,Employee_Master!C:C)</f>
        <v>IT</v>
      </c>
      <c r="K275" s="48"/>
      <c r="L275" s="48"/>
      <c r="M275" s="48"/>
      <c r="N275" s="48"/>
      <c r="O275" s="48"/>
      <c r="P275" s="48"/>
      <c r="Q275" s="48"/>
      <c r="R275"/>
    </row>
    <row r="276" spans="1:19" x14ac:dyDescent="0.25">
      <c r="A276" s="33" t="s">
        <v>70</v>
      </c>
      <c r="B276" s="9" t="s">
        <v>88</v>
      </c>
      <c r="C276" s="24">
        <v>1</v>
      </c>
      <c r="D276" s="24">
        <v>0.875</v>
      </c>
      <c r="E276" s="24">
        <v>0.11904761904761903</v>
      </c>
      <c r="F276" s="24">
        <v>0</v>
      </c>
      <c r="G276" s="9">
        <f>_xlfn.XLOOKUP(A276,Employee_Master!A:A,Employee_Master!F:F)</f>
        <v>58061</v>
      </c>
      <c r="H276" s="29">
        <v>14515.250000000002</v>
      </c>
      <c r="I276" s="23" t="s">
        <v>157</v>
      </c>
      <c r="J276" s="34" t="str">
        <f>_xlfn.XLOOKUP(A276,Employee_Master!A:A,Employee_Master!C:C)</f>
        <v>IT</v>
      </c>
      <c r="K276" s="48"/>
      <c r="L276" s="48"/>
      <c r="M276" s="48"/>
      <c r="N276" s="48"/>
      <c r="O276" s="48"/>
      <c r="P276" s="48"/>
      <c r="Q276" s="48"/>
      <c r="R276"/>
    </row>
    <row r="277" spans="1:19" x14ac:dyDescent="0.25">
      <c r="A277" s="33" t="s">
        <v>8</v>
      </c>
      <c r="B277" s="9" t="s">
        <v>83</v>
      </c>
      <c r="C277" s="24">
        <v>0.81818181818181823</v>
      </c>
      <c r="D277" s="24">
        <v>0.87179487179487181</v>
      </c>
      <c r="E277" s="24">
        <v>8.8235294117647065E-2</v>
      </c>
      <c r="F277" s="24">
        <v>0.18181818181818182</v>
      </c>
      <c r="G277" s="9">
        <f>_xlfn.XLOOKUP(A277,Employee_Master!A:A,Employee_Master!F:F)</f>
        <v>55448</v>
      </c>
      <c r="H277" s="29">
        <v>15639.179487179468</v>
      </c>
      <c r="I277" s="23" t="s">
        <v>155</v>
      </c>
      <c r="J277" s="34" t="str">
        <f>_xlfn.XLOOKUP(A277,Employee_Master!A:A,Employee_Master!C:C)</f>
        <v>HR</v>
      </c>
      <c r="K277" s="48"/>
      <c r="L277" s="48"/>
      <c r="M277" s="48"/>
      <c r="N277" s="48"/>
      <c r="O277" s="48"/>
      <c r="P277" s="48"/>
      <c r="Q277" s="48"/>
      <c r="R277" s="7"/>
      <c r="S277" s="8"/>
    </row>
    <row r="278" spans="1:19" x14ac:dyDescent="0.25">
      <c r="A278" s="33" t="s">
        <v>22</v>
      </c>
      <c r="B278" s="9" t="s">
        <v>84</v>
      </c>
      <c r="C278" s="24">
        <v>0.95454545454545459</v>
      </c>
      <c r="D278" s="24">
        <v>0.87179487179487181</v>
      </c>
      <c r="E278" s="24">
        <v>8.8235294117647065E-2</v>
      </c>
      <c r="F278" s="24">
        <v>4.5454545454545456E-2</v>
      </c>
      <c r="G278" s="9">
        <f>_xlfn.XLOOKUP(A278,Employee_Master!A:A,Employee_Master!F:F)</f>
        <v>38396</v>
      </c>
      <c r="H278" s="29">
        <v>10829.641025641014</v>
      </c>
      <c r="I278" s="23" t="s">
        <v>157</v>
      </c>
      <c r="J278" s="34" t="str">
        <f>_xlfn.XLOOKUP(A278,Employee_Master!A:A,Employee_Master!C:C)</f>
        <v>IT</v>
      </c>
      <c r="K278" s="48"/>
      <c r="L278" s="48"/>
      <c r="M278" s="48"/>
      <c r="N278" s="48"/>
      <c r="O278" s="48"/>
      <c r="P278" s="48"/>
      <c r="Q278" s="48"/>
      <c r="R278"/>
    </row>
    <row r="279" spans="1:19" x14ac:dyDescent="0.25">
      <c r="A279" s="33" t="s">
        <v>63</v>
      </c>
      <c r="B279" s="9" t="s">
        <v>86</v>
      </c>
      <c r="C279" s="24">
        <v>0.86363636363636365</v>
      </c>
      <c r="D279" s="24">
        <v>0.87179487179487181</v>
      </c>
      <c r="E279" s="24">
        <v>2.9411764705882349E-2</v>
      </c>
      <c r="F279" s="24">
        <v>0.13636363636363635</v>
      </c>
      <c r="G279" s="9">
        <f>_xlfn.XLOOKUP(A279,Employee_Master!A:A,Employee_Master!F:F)</f>
        <v>86706</v>
      </c>
      <c r="H279" s="29">
        <v>24455.538461538436</v>
      </c>
      <c r="I279" s="23" t="s">
        <v>155</v>
      </c>
      <c r="J279" s="34" t="str">
        <f>_xlfn.XLOOKUP(A279,Employee_Master!A:A,Employee_Master!C:C)</f>
        <v>HR</v>
      </c>
      <c r="K279" s="48"/>
      <c r="L279" s="48"/>
      <c r="M279" s="48"/>
      <c r="N279" s="48"/>
      <c r="O279" s="48"/>
      <c r="P279" s="48"/>
      <c r="Q279" s="48"/>
      <c r="R279"/>
    </row>
    <row r="280" spans="1:19" x14ac:dyDescent="0.25">
      <c r="A280" s="33" t="s">
        <v>36</v>
      </c>
      <c r="B280" s="9" t="s">
        <v>87</v>
      </c>
      <c r="C280" s="24">
        <v>0.86363636363636365</v>
      </c>
      <c r="D280" s="24">
        <v>0.87096774193548387</v>
      </c>
      <c r="E280" s="24">
        <v>0.14814814814814814</v>
      </c>
      <c r="F280" s="24">
        <v>0.13636363636363635</v>
      </c>
      <c r="G280" s="9">
        <f>_xlfn.XLOOKUP(A280,Employee_Master!A:A,Employee_Master!F:F)</f>
        <v>42493</v>
      </c>
      <c r="H280" s="29">
        <v>12336.677419354852</v>
      </c>
      <c r="I280" s="23" t="s">
        <v>155</v>
      </c>
      <c r="J280" s="34" t="str">
        <f>_xlfn.XLOOKUP(A280,Employee_Master!A:A,Employee_Master!C:C)</f>
        <v>IT</v>
      </c>
      <c r="K280" s="48"/>
      <c r="L280" s="48"/>
      <c r="M280" s="48"/>
      <c r="N280" s="48"/>
      <c r="O280" s="48"/>
      <c r="P280" s="48"/>
      <c r="Q280" s="48"/>
      <c r="R280"/>
    </row>
    <row r="281" spans="1:19" x14ac:dyDescent="0.25">
      <c r="A281" s="33" t="s">
        <v>62</v>
      </c>
      <c r="B281" s="9" t="s">
        <v>86</v>
      </c>
      <c r="C281" s="24">
        <v>0.90909090909090906</v>
      </c>
      <c r="D281" s="24">
        <v>0.87096774193548387</v>
      </c>
      <c r="E281" s="24">
        <v>7.407407407407407E-2</v>
      </c>
      <c r="F281" s="24">
        <v>9.0909090909090912E-2</v>
      </c>
      <c r="G281" s="9">
        <f>_xlfn.XLOOKUP(A281,Employee_Master!A:A,Employee_Master!F:F)</f>
        <v>83035</v>
      </c>
      <c r="H281" s="29">
        <v>24106.935483870988</v>
      </c>
      <c r="I281" s="23" t="s">
        <v>157</v>
      </c>
      <c r="J281" s="34" t="str">
        <f>_xlfn.XLOOKUP(A281,Employee_Master!A:A,Employee_Master!C:C)</f>
        <v>HR</v>
      </c>
      <c r="K281" s="48"/>
      <c r="L281" s="48"/>
      <c r="M281" s="48"/>
      <c r="N281" s="48"/>
      <c r="O281" s="48"/>
      <c r="P281" s="48"/>
      <c r="Q281" s="48"/>
      <c r="R281"/>
    </row>
    <row r="282" spans="1:19" x14ac:dyDescent="0.25">
      <c r="A282" s="33" t="s">
        <v>55</v>
      </c>
      <c r="B282" s="9" t="s">
        <v>87</v>
      </c>
      <c r="C282" s="24">
        <v>1</v>
      </c>
      <c r="D282" s="24">
        <v>0.8666666666666667</v>
      </c>
      <c r="E282" s="24">
        <v>0.11538461538461538</v>
      </c>
      <c r="F282" s="24">
        <v>0</v>
      </c>
      <c r="G282" s="9">
        <f>_xlfn.XLOOKUP(A282,Employee_Master!A:A,Employee_Master!F:F)</f>
        <v>79553</v>
      </c>
      <c r="H282" s="29">
        <v>26517.666666666628</v>
      </c>
      <c r="I282" s="23" t="s">
        <v>157</v>
      </c>
      <c r="J282" s="34" t="str">
        <f>_xlfn.XLOOKUP(A282,Employee_Master!A:A,Employee_Master!C:C)</f>
        <v>IT</v>
      </c>
      <c r="K282" s="48"/>
      <c r="L282" s="48"/>
      <c r="M282" s="48"/>
      <c r="N282" s="48"/>
      <c r="O282" s="48"/>
      <c r="P282" s="48"/>
      <c r="Q282" s="48"/>
      <c r="R282"/>
    </row>
    <row r="283" spans="1:19" x14ac:dyDescent="0.25">
      <c r="A283" s="33" t="s">
        <v>58</v>
      </c>
      <c r="B283" s="9" t="s">
        <v>88</v>
      </c>
      <c r="C283" s="24">
        <v>0.81818181818181823</v>
      </c>
      <c r="D283" s="24">
        <v>0.86363636363636365</v>
      </c>
      <c r="E283" s="24">
        <v>0.13157894736842105</v>
      </c>
      <c r="F283" s="24">
        <v>0.18181818181818182</v>
      </c>
      <c r="G283" s="9">
        <f>_xlfn.XLOOKUP(A283,Employee_Master!A:A,Employee_Master!F:F)</f>
        <v>55298</v>
      </c>
      <c r="H283" s="29">
        <v>20108.363636363658</v>
      </c>
      <c r="I283" s="23" t="s">
        <v>155</v>
      </c>
      <c r="J283" s="34" t="str">
        <f>_xlfn.XLOOKUP(A283,Employee_Master!A:A,Employee_Master!C:C)</f>
        <v>Finance</v>
      </c>
      <c r="K283" s="48"/>
      <c r="L283" s="48"/>
      <c r="M283" s="48"/>
      <c r="N283" s="48"/>
      <c r="O283" s="48"/>
      <c r="P283" s="48"/>
      <c r="Q283" s="48"/>
      <c r="R283"/>
    </row>
    <row r="284" spans="1:19" x14ac:dyDescent="0.25">
      <c r="A284" s="33" t="s">
        <v>18</v>
      </c>
      <c r="B284" s="9" t="s">
        <v>84</v>
      </c>
      <c r="C284" s="24">
        <v>0.90909090909090906</v>
      </c>
      <c r="D284" s="24">
        <v>0.86111111111111116</v>
      </c>
      <c r="E284" s="24">
        <v>6.4516129032258063E-2</v>
      </c>
      <c r="F284" s="24">
        <v>9.0909090909090912E-2</v>
      </c>
      <c r="G284" s="9">
        <f>_xlfn.XLOOKUP(A284,Employee_Master!A:A,Employee_Master!F:F)</f>
        <v>49957</v>
      </c>
      <c r="H284" s="29">
        <v>19427.722222222208</v>
      </c>
      <c r="I284" s="23" t="s">
        <v>157</v>
      </c>
      <c r="J284" s="34" t="str">
        <f>_xlfn.XLOOKUP(A284,Employee_Master!A:A,Employee_Master!C:C)</f>
        <v>HR</v>
      </c>
      <c r="K284" s="48"/>
      <c r="L284" s="48"/>
      <c r="M284" s="48"/>
      <c r="N284" s="48"/>
      <c r="O284" s="48"/>
      <c r="P284" s="48"/>
      <c r="Q284" s="48"/>
      <c r="R284"/>
    </row>
    <row r="285" spans="1:19" x14ac:dyDescent="0.25">
      <c r="A285" s="33" t="s">
        <v>52</v>
      </c>
      <c r="B285" s="9" t="s">
        <v>84</v>
      </c>
      <c r="C285" s="24">
        <v>0.77272727272727271</v>
      </c>
      <c r="D285" s="24">
        <v>0.86046511627906985</v>
      </c>
      <c r="E285" s="24">
        <v>2.7027027027027025E-2</v>
      </c>
      <c r="F285" s="24">
        <v>0.22727272727272727</v>
      </c>
      <c r="G285" s="9">
        <f>_xlfn.XLOOKUP(A285,Employee_Master!A:A,Employee_Master!F:F)</f>
        <v>65366</v>
      </c>
      <c r="H285" s="29">
        <v>25842.372093023234</v>
      </c>
      <c r="I285" s="23" t="s">
        <v>155</v>
      </c>
      <c r="J285" s="34" t="str">
        <f>_xlfn.XLOOKUP(A285,Employee_Master!A:A,Employee_Master!C:C)</f>
        <v>Finance</v>
      </c>
      <c r="K285" s="48"/>
      <c r="L285" s="48"/>
      <c r="M285" s="48"/>
      <c r="N285" s="48"/>
      <c r="O285" s="48"/>
      <c r="P285" s="48"/>
      <c r="Q285" s="48"/>
      <c r="R285"/>
    </row>
    <row r="286" spans="1:19" x14ac:dyDescent="0.25">
      <c r="A286" s="33" t="s">
        <v>66</v>
      </c>
      <c r="B286" s="9" t="s">
        <v>85</v>
      </c>
      <c r="C286" s="24">
        <v>1</v>
      </c>
      <c r="D286" s="24">
        <v>0.86046511627906985</v>
      </c>
      <c r="E286" s="24">
        <v>0.13513513513513514</v>
      </c>
      <c r="F286" s="24">
        <v>0</v>
      </c>
      <c r="G286" s="9">
        <f>_xlfn.XLOOKUP(A286,Employee_Master!A:A,Employee_Master!F:F)</f>
        <v>35728</v>
      </c>
      <c r="H286" s="29">
        <v>14125.02325581394</v>
      </c>
      <c r="I286" s="23" t="s">
        <v>157</v>
      </c>
      <c r="J286" s="34" t="str">
        <f>_xlfn.XLOOKUP(A286,Employee_Master!A:A,Employee_Master!C:C)</f>
        <v>Finance</v>
      </c>
      <c r="K286" s="48"/>
      <c r="L286" s="48"/>
      <c r="M286" s="48"/>
      <c r="N286" s="48"/>
      <c r="O286" s="48"/>
      <c r="P286" s="48"/>
      <c r="Q286" s="48"/>
      <c r="R286"/>
    </row>
    <row r="287" spans="1:19" x14ac:dyDescent="0.25">
      <c r="A287" s="33" t="s">
        <v>76</v>
      </c>
      <c r="B287" s="9" t="s">
        <v>84</v>
      </c>
      <c r="C287" s="24">
        <v>0.90909090909090906</v>
      </c>
      <c r="D287" s="24">
        <v>0.86046511627906985</v>
      </c>
      <c r="E287" s="24">
        <v>5.405405405405405E-2</v>
      </c>
      <c r="F287" s="24">
        <v>9.0909090909090912E-2</v>
      </c>
      <c r="G287" s="9">
        <f>_xlfn.XLOOKUP(A287,Employee_Master!A:A,Employee_Master!F:F)</f>
        <v>39915</v>
      </c>
      <c r="H287" s="29">
        <v>15780.348837209291</v>
      </c>
      <c r="I287" s="23" t="s">
        <v>157</v>
      </c>
      <c r="J287" s="34" t="str">
        <f>_xlfn.XLOOKUP(A287,Employee_Master!A:A,Employee_Master!C:C)</f>
        <v>HR</v>
      </c>
      <c r="K287" s="48"/>
      <c r="L287" s="48"/>
      <c r="M287" s="48"/>
      <c r="N287" s="48"/>
      <c r="O287" s="48"/>
      <c r="P287" s="48"/>
      <c r="Q287" s="48"/>
      <c r="R287"/>
    </row>
    <row r="288" spans="1:19" x14ac:dyDescent="0.25">
      <c r="A288" s="33" t="s">
        <v>42</v>
      </c>
      <c r="B288" s="9" t="s">
        <v>83</v>
      </c>
      <c r="C288" s="24">
        <v>1</v>
      </c>
      <c r="D288" s="24">
        <v>0.8571428571428571</v>
      </c>
      <c r="E288" s="24">
        <v>5.5555555555555552E-2</v>
      </c>
      <c r="F288" s="24">
        <v>0</v>
      </c>
      <c r="G288" s="9">
        <f>_xlfn.XLOOKUP(A288,Employee_Master!A:A,Employee_Master!F:F)</f>
        <v>61034</v>
      </c>
      <c r="H288" s="29">
        <v>26157.428571428609</v>
      </c>
      <c r="I288" s="23" t="s">
        <v>157</v>
      </c>
      <c r="J288" s="34" t="str">
        <f>_xlfn.XLOOKUP(A288,Employee_Master!A:A,Employee_Master!C:C)</f>
        <v>Finance</v>
      </c>
      <c r="K288" s="48"/>
      <c r="L288" s="48"/>
      <c r="M288" s="48"/>
      <c r="N288" s="48"/>
      <c r="O288" s="48"/>
      <c r="P288" s="48"/>
      <c r="Q288" s="48"/>
      <c r="R288"/>
    </row>
    <row r="289" spans="1:18" x14ac:dyDescent="0.25">
      <c r="A289" s="33" t="s">
        <v>49</v>
      </c>
      <c r="B289" s="9" t="s">
        <v>86</v>
      </c>
      <c r="C289" s="24">
        <v>0.90909090909090906</v>
      </c>
      <c r="D289" s="24">
        <v>0.8571428571428571</v>
      </c>
      <c r="E289" s="24">
        <v>2.7777777777777776E-2</v>
      </c>
      <c r="F289" s="24">
        <v>9.0909090909090912E-2</v>
      </c>
      <c r="G289" s="9">
        <f>_xlfn.XLOOKUP(A289,Employee_Master!A:A,Employee_Master!F:F)</f>
        <v>74159</v>
      </c>
      <c r="H289" s="29">
        <v>31782.428571428612</v>
      </c>
      <c r="I289" s="23" t="s">
        <v>157</v>
      </c>
      <c r="J289" s="34" t="str">
        <f>_xlfn.XLOOKUP(A289,Employee_Master!A:A,Employee_Master!C:C)</f>
        <v>HR</v>
      </c>
      <c r="K289" s="48"/>
      <c r="L289" s="48"/>
      <c r="M289" s="48"/>
      <c r="N289" s="48"/>
      <c r="O289" s="48"/>
      <c r="P289" s="48"/>
      <c r="Q289" s="48"/>
      <c r="R289"/>
    </row>
    <row r="290" spans="1:18" x14ac:dyDescent="0.25">
      <c r="A290" s="33" t="s">
        <v>64</v>
      </c>
      <c r="B290" s="9" t="s">
        <v>83</v>
      </c>
      <c r="C290" s="24">
        <v>0.77272727272727271</v>
      </c>
      <c r="D290" s="24">
        <v>0.8571428571428571</v>
      </c>
      <c r="E290" s="24">
        <v>2.7777777777777776E-2</v>
      </c>
      <c r="F290" s="24">
        <v>0.22727272727272727</v>
      </c>
      <c r="G290" s="9">
        <f>_xlfn.XLOOKUP(A290,Employee_Master!A:A,Employee_Master!F:F)</f>
        <v>37560</v>
      </c>
      <c r="H290" s="29">
        <v>16097.142857142881</v>
      </c>
      <c r="I290" s="23" t="s">
        <v>155</v>
      </c>
      <c r="J290" s="34" t="str">
        <f>_xlfn.XLOOKUP(A290,Employee_Master!A:A,Employee_Master!C:C)</f>
        <v>IT</v>
      </c>
      <c r="K290" s="48"/>
      <c r="L290" s="48"/>
      <c r="M290" s="48"/>
      <c r="N290" s="48"/>
      <c r="O290" s="48"/>
      <c r="P290" s="48"/>
      <c r="Q290" s="48"/>
      <c r="R290"/>
    </row>
    <row r="291" spans="1:18" x14ac:dyDescent="0.25">
      <c r="A291" s="33" t="s">
        <v>18</v>
      </c>
      <c r="B291" s="9" t="s">
        <v>87</v>
      </c>
      <c r="C291" s="24">
        <v>0.77272727272727271</v>
      </c>
      <c r="D291" s="24">
        <v>0.85294117647058831</v>
      </c>
      <c r="E291" s="24">
        <v>0.13793103448275862</v>
      </c>
      <c r="F291" s="24">
        <v>0.22727272727272727</v>
      </c>
      <c r="G291" s="9">
        <f>_xlfn.XLOOKUP(A291,Employee_Master!A:A,Employee_Master!F:F)</f>
        <v>49957</v>
      </c>
      <c r="H291" s="29">
        <v>23509.176470588223</v>
      </c>
      <c r="I291" s="23" t="s">
        <v>155</v>
      </c>
      <c r="J291" s="34" t="str">
        <f>_xlfn.XLOOKUP(A291,Employee_Master!A:A,Employee_Master!C:C)</f>
        <v>HR</v>
      </c>
      <c r="K291" s="48"/>
      <c r="L291" s="48"/>
      <c r="M291" s="48"/>
      <c r="N291" s="48"/>
      <c r="O291" s="48"/>
      <c r="P291" s="48"/>
      <c r="Q291" s="48"/>
      <c r="R291"/>
    </row>
    <row r="292" spans="1:18" x14ac:dyDescent="0.25">
      <c r="A292" s="33" t="s">
        <v>59</v>
      </c>
      <c r="B292" s="9" t="s">
        <v>87</v>
      </c>
      <c r="C292" s="24">
        <v>0.95454545454545459</v>
      </c>
      <c r="D292" s="24">
        <v>0.85294117647058831</v>
      </c>
      <c r="E292" s="24">
        <v>0.13793103448275862</v>
      </c>
      <c r="F292" s="24">
        <v>4.5454545454545456E-2</v>
      </c>
      <c r="G292" s="9">
        <f>_xlfn.XLOOKUP(A292,Employee_Master!A:A,Employee_Master!F:F)</f>
        <v>52765</v>
      </c>
      <c r="H292" s="29">
        <v>24830.588235294108</v>
      </c>
      <c r="I292" s="23" t="s">
        <v>157</v>
      </c>
      <c r="J292" s="34" t="str">
        <f>_xlfn.XLOOKUP(A292,Employee_Master!A:A,Employee_Master!C:C)</f>
        <v>IT</v>
      </c>
      <c r="K292" s="48"/>
      <c r="L292" s="48"/>
      <c r="M292" s="48"/>
      <c r="N292" s="48"/>
      <c r="O292" s="48"/>
      <c r="P292" s="48"/>
      <c r="Q292" s="48"/>
      <c r="R292"/>
    </row>
    <row r="293" spans="1:18" x14ac:dyDescent="0.25">
      <c r="A293" s="33" t="s">
        <v>45</v>
      </c>
      <c r="B293" s="9" t="s">
        <v>85</v>
      </c>
      <c r="C293" s="24">
        <v>0.95454545454545459</v>
      </c>
      <c r="D293" s="24">
        <v>0.85</v>
      </c>
      <c r="E293" s="24">
        <v>2.9411764705882349E-2</v>
      </c>
      <c r="F293" s="24">
        <v>4.5454545454545456E-2</v>
      </c>
      <c r="G293" s="9">
        <f>_xlfn.XLOOKUP(A293,Employee_Master!A:A,Employee_Master!F:F)</f>
        <v>37716</v>
      </c>
      <c r="H293" s="29">
        <v>18858</v>
      </c>
      <c r="I293" s="23" t="s">
        <v>157</v>
      </c>
      <c r="J293" s="34" t="str">
        <f>_xlfn.XLOOKUP(A293,Employee_Master!A:A,Employee_Master!C:C)</f>
        <v>IT</v>
      </c>
      <c r="K293" s="48"/>
      <c r="L293" s="48"/>
      <c r="M293" s="48"/>
      <c r="N293" s="48"/>
      <c r="O293" s="48"/>
      <c r="P293" s="48"/>
      <c r="Q293" s="48"/>
      <c r="R293"/>
    </row>
    <row r="294" spans="1:18" x14ac:dyDescent="0.25">
      <c r="A294" s="33" t="s">
        <v>72</v>
      </c>
      <c r="B294" s="9" t="s">
        <v>88</v>
      </c>
      <c r="C294" s="24">
        <v>0.86363636363636365</v>
      </c>
      <c r="D294" s="24">
        <v>0.83870967741935487</v>
      </c>
      <c r="E294" s="24">
        <v>3.8461538461538464E-2</v>
      </c>
      <c r="F294" s="24">
        <v>0.13636363636363635</v>
      </c>
      <c r="G294" s="9">
        <f>_xlfn.XLOOKUP(A294,Employee_Master!A:A,Employee_Master!F:F)</f>
        <v>77876</v>
      </c>
      <c r="H294" s="29">
        <v>47730.451612903198</v>
      </c>
      <c r="I294" s="23" t="s">
        <v>155</v>
      </c>
      <c r="J294" s="34" t="str">
        <f>_xlfn.XLOOKUP(A294,Employee_Master!A:A,Employee_Master!C:C)</f>
        <v>Sales</v>
      </c>
      <c r="K294" s="48"/>
      <c r="L294" s="48"/>
      <c r="M294" s="48"/>
      <c r="N294" s="48"/>
      <c r="O294" s="48"/>
      <c r="P294" s="48"/>
      <c r="Q294" s="48"/>
      <c r="R294"/>
    </row>
    <row r="295" spans="1:18" x14ac:dyDescent="0.25">
      <c r="A295" s="33" t="s">
        <v>77</v>
      </c>
      <c r="B295" s="9" t="s">
        <v>83</v>
      </c>
      <c r="C295" s="24">
        <v>1</v>
      </c>
      <c r="D295" s="24">
        <v>0.83333333333333348</v>
      </c>
      <c r="E295" s="24">
        <v>0.13333333333333333</v>
      </c>
      <c r="F295" s="24">
        <v>0</v>
      </c>
      <c r="G295" s="9">
        <f>_xlfn.XLOOKUP(A295,Employee_Master!A:A,Employee_Master!F:F)</f>
        <v>59133</v>
      </c>
      <c r="H295" s="29">
        <v>39421.999999999942</v>
      </c>
      <c r="I295" s="23" t="s">
        <v>155</v>
      </c>
      <c r="J295" s="34" t="str">
        <f>_xlfn.XLOOKUP(A295,Employee_Master!A:A,Employee_Master!C:C)</f>
        <v>HR</v>
      </c>
      <c r="K295" s="48"/>
      <c r="L295" s="48"/>
      <c r="M295" s="48"/>
      <c r="N295" s="48"/>
      <c r="O295" s="48"/>
      <c r="P295" s="48"/>
      <c r="Q295" s="48"/>
      <c r="R295"/>
    </row>
    <row r="296" spans="1:18" x14ac:dyDescent="0.25">
      <c r="A296" s="33" t="s">
        <v>40</v>
      </c>
      <c r="B296" s="9" t="s">
        <v>87</v>
      </c>
      <c r="C296" s="24">
        <v>0.90909090909090906</v>
      </c>
      <c r="D296" s="24">
        <v>0.82857142857142863</v>
      </c>
      <c r="E296" s="24">
        <v>0.17241379310344829</v>
      </c>
      <c r="F296" s="24">
        <v>9.0909090909090912E-2</v>
      </c>
      <c r="G296" s="9">
        <f>_xlfn.XLOOKUP(A296,Employee_Master!A:A,Employee_Master!F:F)</f>
        <v>41091</v>
      </c>
      <c r="H296" s="29">
        <v>29350.714285714264</v>
      </c>
      <c r="I296" s="23" t="s">
        <v>155</v>
      </c>
      <c r="J296" s="34" t="str">
        <f>_xlfn.XLOOKUP(A296,Employee_Master!A:A,Employee_Master!C:C)</f>
        <v>HR</v>
      </c>
      <c r="K296" s="48"/>
      <c r="L296" s="48"/>
      <c r="M296" s="48"/>
      <c r="N296" s="48"/>
      <c r="O296" s="48"/>
      <c r="P296" s="48"/>
      <c r="Q296" s="48"/>
      <c r="R296"/>
    </row>
    <row r="297" spans="1:18" x14ac:dyDescent="0.25">
      <c r="A297" s="33" t="s">
        <v>58</v>
      </c>
      <c r="B297" s="9" t="s">
        <v>83</v>
      </c>
      <c r="C297" s="24">
        <v>0.86363636363636365</v>
      </c>
      <c r="D297" s="24">
        <v>0.82857142857142863</v>
      </c>
      <c r="E297" s="24">
        <v>0.17241379310344829</v>
      </c>
      <c r="F297" s="24">
        <v>0.13636363636363635</v>
      </c>
      <c r="G297" s="9">
        <f>_xlfn.XLOOKUP(A297,Employee_Master!A:A,Employee_Master!F:F)</f>
        <v>55298</v>
      </c>
      <c r="H297" s="29">
        <v>39498.571428571413</v>
      </c>
      <c r="I297" s="23" t="s">
        <v>155</v>
      </c>
      <c r="J297" s="34" t="str">
        <f>_xlfn.XLOOKUP(A297,Employee_Master!A:A,Employee_Master!C:C)</f>
        <v>Finance</v>
      </c>
      <c r="K297" s="48"/>
      <c r="L297" s="48"/>
      <c r="M297" s="48"/>
      <c r="N297" s="48"/>
      <c r="O297" s="48"/>
      <c r="P297" s="48"/>
      <c r="Q297" s="48"/>
      <c r="R297"/>
    </row>
    <row r="298" spans="1:18" x14ac:dyDescent="0.25">
      <c r="A298" s="33" t="s">
        <v>77</v>
      </c>
      <c r="B298" s="9" t="s">
        <v>88</v>
      </c>
      <c r="C298" s="24">
        <v>0.90909090909090906</v>
      </c>
      <c r="D298" s="24">
        <v>0.8125</v>
      </c>
      <c r="E298" s="24">
        <v>0</v>
      </c>
      <c r="F298" s="24">
        <v>9.0909090909090912E-2</v>
      </c>
      <c r="G298" s="9">
        <f>_xlfn.XLOOKUP(A298,Employee_Master!A:A,Employee_Master!F:F)</f>
        <v>59133</v>
      </c>
      <c r="H298" s="29">
        <v>51741.375</v>
      </c>
      <c r="I298" s="23" t="s">
        <v>155</v>
      </c>
      <c r="J298" s="34" t="str">
        <f>_xlfn.XLOOKUP(A298,Employee_Master!A:A,Employee_Master!C:C)</f>
        <v>HR</v>
      </c>
      <c r="K298" s="48"/>
      <c r="L298" s="48"/>
      <c r="M298" s="48"/>
      <c r="N298" s="48"/>
      <c r="O298" s="48"/>
      <c r="P298" s="48"/>
      <c r="Q298" s="48"/>
      <c r="R298"/>
    </row>
    <row r="299" spans="1:18" x14ac:dyDescent="0.25">
      <c r="A299" s="33" t="s">
        <v>66</v>
      </c>
      <c r="B299" s="9" t="s">
        <v>86</v>
      </c>
      <c r="C299" s="24">
        <v>0.86363636363636365</v>
      </c>
      <c r="D299" s="24">
        <v>0.80645161290322576</v>
      </c>
      <c r="E299" s="24">
        <v>0.12</v>
      </c>
      <c r="F299" s="24">
        <v>0.13636363636363635</v>
      </c>
      <c r="G299" s="9">
        <f>_xlfn.XLOOKUP(A299,Employee_Master!A:A,Employee_Master!F:F)</f>
        <v>35728</v>
      </c>
      <c r="H299" s="29">
        <v>33422.967741935492</v>
      </c>
      <c r="I299" s="23" t="s">
        <v>155</v>
      </c>
      <c r="J299" s="34" t="str">
        <f>_xlfn.XLOOKUP(A299,Employee_Master!A:A,Employee_Master!C:C)</f>
        <v>Finance</v>
      </c>
      <c r="K299" s="48"/>
      <c r="L299" s="48"/>
      <c r="M299" s="48"/>
      <c r="N299" s="48"/>
      <c r="O299" s="48"/>
      <c r="P299" s="48"/>
      <c r="Q299" s="48"/>
      <c r="R299"/>
    </row>
    <row r="300" spans="1:18" x14ac:dyDescent="0.25">
      <c r="A300" s="33" t="s">
        <v>68</v>
      </c>
      <c r="B300" s="9" t="s">
        <v>88</v>
      </c>
      <c r="C300" s="24">
        <v>0.77272727272727271</v>
      </c>
      <c r="D300" s="24">
        <v>0.80645161290322576</v>
      </c>
      <c r="E300" s="24">
        <v>0.2</v>
      </c>
      <c r="F300" s="24">
        <v>0.22727272727272727</v>
      </c>
      <c r="G300" s="9">
        <f>_xlfn.XLOOKUP(A300,Employee_Master!A:A,Employee_Master!F:F)</f>
        <v>62782</v>
      </c>
      <c r="H300" s="29">
        <v>58731.548387096802</v>
      </c>
      <c r="I300" s="23" t="s">
        <v>155</v>
      </c>
      <c r="J300" s="34" t="str">
        <f>_xlfn.XLOOKUP(A300,Employee_Master!A:A,Employee_Master!C:C)</f>
        <v>Sales</v>
      </c>
      <c r="K300" s="48"/>
      <c r="L300" s="48"/>
      <c r="M300" s="48"/>
      <c r="N300" s="48"/>
      <c r="O300" s="48"/>
      <c r="P300" s="48"/>
      <c r="Q300" s="48"/>
      <c r="R300"/>
    </row>
    <row r="301" spans="1:18" x14ac:dyDescent="0.25">
      <c r="A301" s="39" t="s">
        <v>72</v>
      </c>
      <c r="B301" s="40" t="s">
        <v>86</v>
      </c>
      <c r="C301" s="41">
        <v>0.72727272727272729</v>
      </c>
      <c r="D301" s="41">
        <v>0.80645161290322576</v>
      </c>
      <c r="E301" s="41">
        <v>0.08</v>
      </c>
      <c r="F301" s="41">
        <v>0.27272727272727271</v>
      </c>
      <c r="G301" s="40">
        <f>_xlfn.XLOOKUP(A301,Employee_Master!A:A,Employee_Master!F:F)</f>
        <v>77876</v>
      </c>
      <c r="H301" s="42">
        <v>72851.741935483908</v>
      </c>
      <c r="I301" s="43" t="s">
        <v>155</v>
      </c>
      <c r="J301" s="44" t="str">
        <f>_xlfn.XLOOKUP(A301,Employee_Master!A:A,Employee_Master!C:C)</f>
        <v>Sales</v>
      </c>
      <c r="K301" s="48"/>
      <c r="L301" s="48"/>
      <c r="M301" s="48"/>
      <c r="N301" s="48"/>
      <c r="O301" s="48"/>
      <c r="P301" s="48"/>
      <c r="Q301" s="48"/>
      <c r="R301"/>
    </row>
    <row r="302" spans="1:18" x14ac:dyDescent="0.25">
      <c r="I302" s="30"/>
    </row>
    <row r="303" spans="1:18" x14ac:dyDescent="0.25">
      <c r="F303" s="2">
        <f>AVERAGE(E:E)</f>
        <v>4.8963548304982292E-2</v>
      </c>
    </row>
  </sheetData>
  <conditionalFormatting sqref="A1:B1048576">
    <cfRule type="expression" priority="1">
      <formula>OR(LEFT(A2,1)=" ",RIGHT(A2,1)=" ")</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EC19-AE34-421A-BF34-C18E0488AF76}">
  <dimension ref="J38"/>
  <sheetViews>
    <sheetView showGridLines="0" topLeftCell="A15" workbookViewId="0">
      <selection activeCell="J47" sqref="J47"/>
    </sheetView>
  </sheetViews>
  <sheetFormatPr defaultRowHeight="15" x14ac:dyDescent="0.25"/>
  <cols>
    <col min="1" max="16384" width="9.140625" style="47"/>
  </cols>
  <sheetData>
    <row r="38" spans="10:10" x14ac:dyDescent="0.25">
      <c r="J38" s="47" t="s">
        <v>159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10</vt:i4>
      </vt:variant>
      <vt:variant>
        <vt:lpstr>Charts</vt:lpstr>
      </vt:variant>
      <vt:variant>
        <vt:i4>1</vt:i4>
      </vt:variant>
      <vt:variant>
        <vt:lpstr>Named Ranges</vt:lpstr>
      </vt:variant>
      <vt:variant>
        <vt:i4>1</vt:i4>
      </vt:variant>
    </vt:vector>
  </HeadingPairs>
  <TitlesOfParts>
    <vt:vector size="12" baseType="lpstr">
      <vt:lpstr>Employee_Master</vt:lpstr>
      <vt:lpstr>Attendance_Log</vt:lpstr>
      <vt:lpstr>Productivity_Log</vt:lpstr>
      <vt:lpstr>CL BY DEPT</vt:lpstr>
      <vt:lpstr>CL BY MONTH</vt:lpstr>
      <vt:lpstr>HIGH RISK BY DEPT</vt:lpstr>
      <vt:lpstr>slicers</vt:lpstr>
      <vt:lpstr>cl by risk flag</vt:lpstr>
      <vt:lpstr>Derived_Metrics</vt:lpstr>
      <vt:lpstr>Dashboard1</vt:lpstr>
      <vt:lpstr>slic</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talari</dc:creator>
  <cp:lastModifiedBy>shilpa talari</cp:lastModifiedBy>
  <cp:lastPrinted>2026-02-01T16:55:24Z</cp:lastPrinted>
  <dcterms:created xsi:type="dcterms:W3CDTF">2026-01-24T15:55:47Z</dcterms:created>
  <dcterms:modified xsi:type="dcterms:W3CDTF">2026-03-03T11:44:06Z</dcterms:modified>
</cp:coreProperties>
</file>